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drawings/drawing9.xml" ContentType="application/vnd.openxmlformats-officedocument.drawing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trlProps/ctrlProp1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mauabr-my.sharepoint.com/personal/22_01046-7_maua_br/Documents/"/>
    </mc:Choice>
  </mc:AlternateContent>
  <xr:revisionPtr revIDLastSave="0" documentId="8_{04FDA8BC-6E04-48B8-ACE7-82AF37E59682}" xr6:coauthVersionLast="47" xr6:coauthVersionMax="47" xr10:uidLastSave="{00000000-0000-0000-0000-000000000000}"/>
  <bookViews>
    <workbookView xWindow="-120" yWindow="-120" windowWidth="20730" windowHeight="11760" firstSheet="10" activeTab="12" xr2:uid="{BBFDAF83-BA97-4363-9115-4CB14BD6AA32}"/>
  </bookViews>
  <sheets>
    <sheet name="teste macros" sheetId="1" r:id="rId1"/>
    <sheet name="importação xml" sheetId="4" r:id="rId2"/>
    <sheet name="resumo xml" sheetId="5" r:id="rId3"/>
    <sheet name="base" sheetId="2" r:id="rId4"/>
    <sheet name="banco de dados" sheetId="3" r:id="rId5"/>
    <sheet name="Testando codigos no vba" sheetId="6" r:id="rId6"/>
    <sheet name="Cells,Range,VarType,IsNumeric" sheetId="7" r:id="rId7"/>
    <sheet name="If,else,while,do,for" sheetId="9" r:id="rId8"/>
    <sheet name="Praticando usando Do" sheetId="10" r:id="rId9"/>
    <sheet name="Praticando usando For" sheetId="11" r:id="rId10"/>
    <sheet name="Praticando usando while" sheetId="12" r:id="rId11"/>
    <sheet name="Praticando usando while " sheetId="13" r:id="rId12"/>
    <sheet name="Copia e Cola" sheetId="14" r:id="rId13"/>
    <sheet name="Array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D2" i="5" s="1"/>
  <c r="C3" i="5"/>
  <c r="D3" i="5" s="1"/>
  <c r="C4" i="5"/>
  <c r="D4" i="5" s="1"/>
  <c r="C5" i="5"/>
  <c r="D5" i="5" s="1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16" i="5"/>
  <c r="D16" i="5" s="1"/>
  <c r="C17" i="5"/>
  <c r="D17" i="5" s="1"/>
  <c r="C18" i="5"/>
  <c r="D18" i="5" s="1"/>
  <c r="C19" i="5"/>
  <c r="D19" i="5" s="1"/>
  <c r="C20" i="5"/>
  <c r="D20" i="5" s="1"/>
  <c r="C21" i="5"/>
  <c r="D21" i="5" s="1"/>
  <c r="C22" i="5"/>
  <c r="D22" i="5" s="1"/>
  <c r="C23" i="5"/>
  <c r="D23" i="5" s="1"/>
  <c r="C24" i="5"/>
  <c r="D24" i="5" s="1"/>
  <c r="C25" i="5"/>
  <c r="D25" i="5" s="1"/>
  <c r="C26" i="5"/>
  <c r="D26" i="5" s="1"/>
  <c r="C27" i="5"/>
  <c r="D27" i="5" s="1"/>
  <c r="C28" i="5"/>
  <c r="D28" i="5" s="1"/>
  <c r="C29" i="5"/>
  <c r="D29" i="5" s="1"/>
  <c r="C30" i="5"/>
  <c r="D30" i="5" s="1"/>
  <c r="C31" i="5"/>
  <c r="D31" i="5" s="1"/>
  <c r="C32" i="5"/>
  <c r="D32" i="5" s="1"/>
  <c r="C33" i="5"/>
  <c r="D33" i="5" s="1"/>
  <c r="C34" i="5"/>
  <c r="D34" i="5" s="1"/>
  <c r="C35" i="5"/>
  <c r="D35" i="5" s="1"/>
  <c r="C36" i="5"/>
  <c r="D36" i="5" s="1"/>
  <c r="C37" i="5"/>
  <c r="D37" i="5" s="1"/>
  <c r="C38" i="5"/>
  <c r="D38" i="5" s="1"/>
  <c r="C39" i="5"/>
  <c r="D39" i="5" s="1"/>
  <c r="C40" i="5"/>
  <c r="D40" i="5" s="1"/>
  <c r="C41" i="5"/>
  <c r="D41" i="5" s="1"/>
  <c r="C42" i="5"/>
  <c r="D42" i="5" s="1"/>
  <c r="C43" i="5"/>
  <c r="D43" i="5" s="1"/>
  <c r="C44" i="5"/>
  <c r="D44" i="5" s="1"/>
  <c r="C45" i="5"/>
  <c r="D45" i="5" s="1"/>
  <c r="C46" i="5"/>
  <c r="D46" i="5" s="1"/>
  <c r="C47" i="5"/>
  <c r="D47" i="5" s="1"/>
  <c r="C48" i="5"/>
  <c r="D48" i="5" s="1"/>
  <c r="C49" i="5"/>
  <c r="D49" i="5" s="1"/>
  <c r="C50" i="5"/>
  <c r="D50" i="5" s="1"/>
  <c r="C51" i="5"/>
  <c r="D51" i="5" s="1"/>
  <c r="C52" i="5"/>
  <c r="D52" i="5" s="1"/>
  <c r="C53" i="5"/>
  <c r="D53" i="5" s="1"/>
  <c r="C54" i="5"/>
  <c r="D54" i="5" s="1"/>
  <c r="C55" i="5"/>
  <c r="D55" i="5" s="1"/>
  <c r="C56" i="5"/>
  <c r="D56" i="5" s="1"/>
  <c r="C57" i="5"/>
  <c r="D57" i="5" s="1"/>
  <c r="C58" i="5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D66" i="5" s="1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D74" i="5" s="1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D106" i="5" s="1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D114" i="5" s="1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D130" i="5" s="1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D170" i="5" s="1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D178" i="5" s="1"/>
  <c r="C179" i="5"/>
  <c r="D179" i="5" s="1"/>
  <c r="C180" i="5"/>
  <c r="D180" i="5" s="1"/>
  <c r="C181" i="5"/>
  <c r="D181" i="5" s="1"/>
  <c r="C182" i="5"/>
  <c r="D182" i="5" s="1"/>
  <c r="C183" i="5"/>
  <c r="D18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EA51EB-2F8C-426C-8552-A80C43F33355}" name="exemplo_arquivo_xml" type="4" refreshedVersion="0" background="1">
    <webPr xml="1" sourceData="1" url="D:\exemplo_arquivo_xml.xml" htmlTables="1" htmlFormat="all"/>
  </connection>
</connections>
</file>

<file path=xl/sharedStrings.xml><?xml version="1.0" encoding="utf-8"?>
<sst xmlns="http://schemas.openxmlformats.org/spreadsheetml/2006/main" count="1266" uniqueCount="332">
  <si>
    <t>CONTADOR</t>
  </si>
  <si>
    <t>PROXIMO</t>
  </si>
  <si>
    <t xml:space="preserve">  </t>
  </si>
  <si>
    <t>CADASTRO DE ANIMAIS</t>
  </si>
  <si>
    <t>Nome</t>
  </si>
  <si>
    <t>Idade</t>
  </si>
  <si>
    <t>Sexo</t>
  </si>
  <si>
    <t>Castrado</t>
  </si>
  <si>
    <t>Nome do dono</t>
  </si>
  <si>
    <t>Bob</t>
  </si>
  <si>
    <t>4 anos</t>
  </si>
  <si>
    <t>Masculino</t>
  </si>
  <si>
    <t>Sim</t>
  </si>
  <si>
    <t>Pietro</t>
  </si>
  <si>
    <t xml:space="preserve">Idade </t>
  </si>
  <si>
    <t>Kick</t>
  </si>
  <si>
    <t xml:space="preserve">2 anos </t>
  </si>
  <si>
    <t>Não</t>
  </si>
  <si>
    <t>Gabriel</t>
  </si>
  <si>
    <t>Mel</t>
  </si>
  <si>
    <t>5 anos</t>
  </si>
  <si>
    <t>Fêmea</t>
  </si>
  <si>
    <t>Super Andrews</t>
  </si>
  <si>
    <t>Width</t>
  </si>
  <si>
    <t>Height</t>
  </si>
  <si>
    <t>PaperTray</t>
  </si>
  <si>
    <t>FillMode</t>
  </si>
  <si>
    <t>IsClosed</t>
  </si>
  <si>
    <t>LineColor</t>
  </si>
  <si>
    <t>X</t>
  </si>
  <si>
    <t>Y</t>
  </si>
  <si>
    <t>OutlineWidth</t>
  </si>
  <si>
    <t>CharSpace</t>
  </si>
  <si>
    <t>RenderTransform</t>
  </si>
  <si>
    <t>SizePoints</t>
  </si>
  <si>
    <t>Style</t>
  </si>
  <si>
    <t>FamilyName</t>
  </si>
  <si>
    <t>Capitals</t>
  </si>
  <si>
    <t>ResourceId</t>
  </si>
  <si>
    <t>Text</t>
  </si>
  <si>
    <t>Color</t>
  </si>
  <si>
    <t>Tag</t>
  </si>
  <si>
    <t>Resource</t>
  </si>
  <si>
    <t>Id</t>
  </si>
  <si>
    <t>FillMode2</t>
  </si>
  <si>
    <t>IsClosed3</t>
  </si>
  <si>
    <t>LineColor4</t>
  </si>
  <si>
    <t>X5</t>
  </si>
  <si>
    <t>Y6</t>
  </si>
  <si>
    <t>X7</t>
  </si>
  <si>
    <t>Y8</t>
  </si>
  <si>
    <t>Width9</t>
  </si>
  <si>
    <t>Height10</t>
  </si>
  <si>
    <t>Winding</t>
  </si>
  <si>
    <t>True</t>
  </si>
  <si>
    <t>#FF000000</t>
  </si>
  <si>
    <t>Alternate</t>
  </si>
  <si>
    <t>1 0 -0 1 6 15.908813</t>
  </si>
  <si>
    <t>1 0 -0 1 31.10822 15.908813</t>
  </si>
  <si>
    <t>1 0 -0 1 66.77344 15.908813</t>
  </si>
  <si>
    <t>1 0 -0 1 69.77344 15.908813</t>
  </si>
  <si>
    <t>1 0 -0 1 133.31967 15.908813</t>
  </si>
  <si>
    <t>1 0 -0 1 151.97461 15.908813</t>
  </si>
  <si>
    <t>1 0 -0 1 154.97461 15.908813</t>
  </si>
  <si>
    <t>1 0 -0 1 176.65265 15.908813</t>
  </si>
  <si>
    <t>1 0 -0 1 207.29297 15.908813</t>
  </si>
  <si>
    <t>1 0 -0 1 210.29297 15.908813</t>
  </si>
  <si>
    <t>1 0 -0 1 225.62695 15.908813</t>
  </si>
  <si>
    <t>1 0 -0 1 228.62695 15.908813</t>
  </si>
  <si>
    <t>1 0 -0 1 258.62695 15.908813</t>
  </si>
  <si>
    <t>1 0 -0 1 261.62695 15.908813</t>
  </si>
  <si>
    <t>1 0 -0 1 4.8984375 29.408813</t>
  </si>
  <si>
    <t>1 0 -0 1 22.81425 29.408813</t>
  </si>
  <si>
    <t>1 0 -0 1 40.13086 29.408813</t>
  </si>
  <si>
    <t>1 0 -0 1 43.13086 29.408813</t>
  </si>
  <si>
    <t>1 0 -0 1 71.90704 29.408813</t>
  </si>
  <si>
    <t>1 0 -0 1 74.24704 29.408813</t>
  </si>
  <si>
    <t>1 0 -0 1 109.552734 29.408813</t>
  </si>
  <si>
    <t>1 0 -0 1 112.552734 29.408813</t>
  </si>
  <si>
    <t>1 0 -0 1 132.46074 29.408813</t>
  </si>
  <si>
    <t>1 0 -0 1 159.1289 29.408813</t>
  </si>
  <si>
    <t>1 0 -0 1 160.58203 29.408813</t>
  </si>
  <si>
    <t>1 0 -0 1 175.24219 29.408813</t>
  </si>
  <si>
    <t>1 0 -0 1 178.24219 29.408813</t>
  </si>
  <si>
    <t>1 0 -0 1 208.24219 29.408813</t>
  </si>
  <si>
    <t>1 0 -0 1 211.24219 29.408813</t>
  </si>
  <si>
    <t>1 0 -0 1 6 42.908813</t>
  </si>
  <si>
    <t>1 0 -0 1 205.15387 42.908813</t>
  </si>
  <si>
    <t>1 0 -0 1 214.14258 42.908813</t>
  </si>
  <si>
    <t>1 0 -0 1 217.14258 42.908813</t>
  </si>
  <si>
    <t>1 0 -0 1 277.7871 42.908813</t>
  </si>
  <si>
    <t>1 0 -0 1 280.7871 42.908813</t>
  </si>
  <si>
    <t>1 0 -0 1 286.7871 42.908813</t>
  </si>
  <si>
    <t>1 0 -0 1 289.7871 42.908813</t>
  </si>
  <si>
    <t>1 0 -0 1 322.7871 42.908813</t>
  </si>
  <si>
    <t>1 0 -0 1 325.7871 42.908813</t>
  </si>
  <si>
    <t>1 0 -0 1 436.0957 42.908813</t>
  </si>
  <si>
    <t>1 0 -0 1 439.0957 42.908813</t>
  </si>
  <si>
    <t>1 0 -0 1 506.75977 42.908813</t>
  </si>
  <si>
    <t>1 0 -0 1 509.75977 42.908813</t>
  </si>
  <si>
    <t>1 0 -0 1 515.75977 42.908813</t>
  </si>
  <si>
    <t>1 0 -0 1 518.75977 42.908813</t>
  </si>
  <si>
    <t>1 0 -0 1 545.75977 42.908813</t>
  </si>
  <si>
    <t>1 0 -0 1 548.75977 42.908813</t>
  </si>
  <si>
    <t>1 0 -0 1 6 56.408813</t>
  </si>
  <si>
    <t>1 0 -0 1 33.996094 56.408813</t>
  </si>
  <si>
    <t>1 0 -0 1 6 69.90881</t>
  </si>
  <si>
    <t>1 0 -0 1 81.68555 69.90881</t>
  </si>
  <si>
    <t>1 0 -0 1 84.68555 69.90881</t>
  </si>
  <si>
    <t>1 0 -0 1 142.90561 69.90881</t>
  </si>
  <si>
    <t>1 0 -0 1 161.56055 69.90881</t>
  </si>
  <si>
    <t>1 0 -0 1 164.56055 69.90881</t>
  </si>
  <si>
    <t>1 0 -0 1 199.89258 69.90881</t>
  </si>
  <si>
    <t>1 0 -0 1 202.89258 69.90881</t>
  </si>
  <si>
    <t>1 0 -0 1 217.57031 69.90881</t>
  </si>
  <si>
    <t>1 0 -0 1 220.57031 69.90881</t>
  </si>
  <si>
    <t>1 0 -0 1 231.68231 69.90881</t>
  </si>
  <si>
    <t>1 0 -0 1 249.67969 69.90881</t>
  </si>
  <si>
    <t>1 0 -0 1 252.67969 69.90881</t>
  </si>
  <si>
    <t>1 0 -0 1 6 83.40881</t>
  </si>
  <si>
    <t>1 0 -0 1 81.68555 83.40881</t>
  </si>
  <si>
    <t>1 0 -0 1 84.68555 83.40881</t>
  </si>
  <si>
    <t>1 0 -0 1 142.90561 83.40881</t>
  </si>
  <si>
    <t>1 0 -0 1 161.56055 83.40881</t>
  </si>
  <si>
    <t>1 0 -0 1 164.56055 83.40881</t>
  </si>
  <si>
    <t>1 0 -0 1 199.89258 83.40881</t>
  </si>
  <si>
    <t>1 0 -0 1 202.89258 83.40881</t>
  </si>
  <si>
    <t>1 0 -0 1 217.57031 83.40881</t>
  </si>
  <si>
    <t>1 0 -0 1 220.57031 83.40881</t>
  </si>
  <si>
    <t>1 0 -0 1 231.68231 83.40881</t>
  </si>
  <si>
    <t>1 0 -0 1 249.67969 83.40881</t>
  </si>
  <si>
    <t>1 0 -0 1 252.67969 83.40881</t>
  </si>
  <si>
    <t>1 0 -0 1 6 96.90881</t>
  </si>
  <si>
    <t>1 0 -0 1 193.95703 96.90881</t>
  </si>
  <si>
    <t>1 0 -0 1 196.95703 96.90881</t>
  </si>
  <si>
    <t>1 0 -0 1 264.62695 96.90881</t>
  </si>
  <si>
    <t>1 0 -0 1 267.62695 96.90881</t>
  </si>
  <si>
    <t>1 0 -0 1 273.62695 96.90881</t>
  </si>
  <si>
    <t>1 0 -0 1 276.62695 96.90881</t>
  </si>
  <si>
    <t>1 0 -0 1 303.62695 96.90881</t>
  </si>
  <si>
    <t>1 0 -0 1 6 110.40881</t>
  </si>
  <si>
    <t>1 0 -0 1 40.436344 110.40881</t>
  </si>
  <si>
    <t>1 0 -0 1 76.76953 110.40881</t>
  </si>
  <si>
    <t>1 0 -0 1 79.76953 110.40881</t>
  </si>
  <si>
    <t>1 0 -0 1 148.55353 110.40881</t>
  </si>
  <si>
    <t>1 0 -0 1 150.89352 110.40881</t>
  </si>
  <si>
    <t>1 0 -0 1 168.87305 110.40881</t>
  </si>
  <si>
    <t>1 0 -0 1 171.87305 110.40881</t>
  </si>
  <si>
    <t>1 0 -0 1 204.52734 110.40881</t>
  </si>
  <si>
    <t>1 0 -0 1 206.68945 110.40881</t>
  </si>
  <si>
    <t>1 0 -0 1 224.01562 110.40881</t>
  </si>
  <si>
    <t>1 0 -0 1 227.01562 110.40881</t>
  </si>
  <si>
    <t>1 0 -0 1 238.12762 110.40881</t>
  </si>
  <si>
    <t>1 0 -0 1 256.125 110.40881</t>
  </si>
  <si>
    <t>1 0 -0 1 259.125 110.40881</t>
  </si>
  <si>
    <t>1 0 -0 1 6 123.90881</t>
  </si>
  <si>
    <t>1 0 -0 1 40.436344 123.90881</t>
  </si>
  <si>
    <t>1 0 -0 1 76.76953 123.90881</t>
  </si>
  <si>
    <t>1 0 -0 1 79.76953 123.90881</t>
  </si>
  <si>
    <t>1 0 -0 1 148.55353 123.90881</t>
  </si>
  <si>
    <t>1 0 -0 1 150.89352 123.90881</t>
  </si>
  <si>
    <t>1 0 -0 1 168.87305 123.90881</t>
  </si>
  <si>
    <t>1 0 -0 1 171.87305 123.90881</t>
  </si>
  <si>
    <t>1 0 -0 1 207.20508 123.90881</t>
  </si>
  <si>
    <t>1 0 -0 1 210.20508 123.90881</t>
  </si>
  <si>
    <t>1 0 -0 1 224.88281 123.90881</t>
  </si>
  <si>
    <t>1 0 -0 1 227.88281 123.90881</t>
  </si>
  <si>
    <t>1 0 -0 1 238.99481 123.90881</t>
  </si>
  <si>
    <t>1 0 -0 1 256.9922 123.90881</t>
  </si>
  <si>
    <t>1 0 -0 1 259.9922 123.90881</t>
  </si>
  <si>
    <t>1 0 -0 1 6 137.40881</t>
  </si>
  <si>
    <t>1 0 -0 1 153.357 137.40881</t>
  </si>
  <si>
    <t>1 0 -0 1 162.3457 137.40881</t>
  </si>
  <si>
    <t>1 0 -0 1 165.3457 137.40881</t>
  </si>
  <si>
    <t>1 0 -0 1 263.6543 137.40881</t>
  </si>
  <si>
    <t>1 0 -0 1 266.6543 137.40881</t>
  </si>
  <si>
    <t>1 0 -0 1 272.6543 137.40881</t>
  </si>
  <si>
    <t>1 0 -0 1 275.6543 137.40881</t>
  </si>
  <si>
    <t>1 0 -0 1 302.6543 137.40881</t>
  </si>
  <si>
    <t>1 0 -0 1 305.17383 137.40881</t>
  </si>
  <si>
    <t>1 0 -0 1 382.82227 137.40881</t>
  </si>
  <si>
    <t>1 0 -0 1 385.82227 137.40881</t>
  </si>
  <si>
    <t>1 0 -0 1 391.82227 137.40881</t>
  </si>
  <si>
    <t>1 0 -0 1 394.82227 137.40881</t>
  </si>
  <si>
    <t>1 0 -0 1 421.82227 137.40881</t>
  </si>
  <si>
    <t>1 0 -0 1 424.82227 137.40881</t>
  </si>
  <si>
    <t>1 0 -0 1 489.82617 137.40881</t>
  </si>
  <si>
    <t>1 0 -0 1 492.82617 137.40881</t>
  </si>
  <si>
    <t>1 0 -0 1 6 150.90881</t>
  </si>
  <si>
    <t>1 0 -0 1 38.654297 150.90881</t>
  </si>
  <si>
    <t>1 0 -0 1 40.32422 150.90881</t>
  </si>
  <si>
    <t>1 0 -0 1 60.316406 150.90881</t>
  </si>
  <si>
    <t>1 0 -0 1 63.316406 150.90881</t>
  </si>
  <si>
    <t>1 0 -0 1 74.872406 150.90881</t>
  </si>
  <si>
    <t>1 0 -0 1 92.87109 150.90881</t>
  </si>
  <si>
    <t>1 0 -0 1 95.87109 150.90881</t>
  </si>
  <si>
    <t>1 0 -0 1 119.87695 150.90881</t>
  </si>
  <si>
    <t>1 0 -0 1 122.87695 150.90881</t>
  </si>
  <si>
    <t>1 0 -0 1 187.88086 150.90881</t>
  </si>
  <si>
    <t>1 0 -0 1 190.88086 150.90881</t>
  </si>
  <si>
    <t>1 0 -0 1 253.21875 150.90881</t>
  </si>
  <si>
    <t>1 0 -0 1 256.21875 150.90881</t>
  </si>
  <si>
    <t>1 0 -0 1 288.87305 150.90881</t>
  </si>
  <si>
    <t>1 0 -0 1 290.54297 150.90881</t>
  </si>
  <si>
    <t>1 0 -0 1 310.53516 150.90881</t>
  </si>
  <si>
    <t>1 0 -0 1 313.53516 150.90881</t>
  </si>
  <si>
    <t>1 0 -0 1 325.09116 150.90881</t>
  </si>
  <si>
    <t>1 0 -0 1 343.08984 150.90881</t>
  </si>
  <si>
    <t>1 0 -0 1 346.08984 150.90881</t>
  </si>
  <si>
    <t>1 0 -0 1 370.0957 150.90881</t>
  </si>
  <si>
    <t>1 0 -0 1 373.0957 150.90881</t>
  </si>
  <si>
    <t>1 0 -0 1 490.08023 150.90881</t>
  </si>
  <si>
    <t>1 0 -0 1 497.07422 150.90881</t>
  </si>
  <si>
    <t>1 0 -0 1 500.07422 150.90881</t>
  </si>
  <si>
    <t>1 0 -0 1 6 164.40881</t>
  </si>
  <si>
    <t>1 0 -0 1 89.64844 164.40881</t>
  </si>
  <si>
    <t>1 0 -0 1 92.64844 164.40881</t>
  </si>
  <si>
    <t>1 0 -0 1 98.64844 164.40881</t>
  </si>
  <si>
    <t>1 0 -0 1 101.64844 164.40881</t>
  </si>
  <si>
    <t>1 0 -0 1 128.64844 164.40881</t>
  </si>
  <si>
    <t>1 0 -0 1 131.64844 164.40881</t>
  </si>
  <si>
    <t>1 0 -0 1 262.6289 164.40881</t>
  </si>
  <si>
    <t>1 0 -0 1 265.6289 164.40881</t>
  </si>
  <si>
    <t>1 0 -0 1 271.6289 164.40881</t>
  </si>
  <si>
    <t>1 0 -0 1 274.6289 164.40881</t>
  </si>
  <si>
    <t>Italic</t>
  </si>
  <si>
    <t>Regular</t>
  </si>
  <si>
    <t>BCARCR+Times New Roman Italic</t>
  </si>
  <si>
    <t>JECTUL+Times New Roman</t>
  </si>
  <si>
    <t>Normal</t>
  </si>
  <si>
    <t>Ellen</t>
  </si>
  <si>
    <t>Adams</t>
  </si>
  <si>
    <t>123 Maple St</t>
  </si>
  <si>
    <t>reet</t>
  </si>
  <si>
    <t>Mill</t>
  </si>
  <si>
    <t>Valley</t>
  </si>
  <si>
    <t>CA</t>
  </si>
  <si>
    <t>10999</t>
  </si>
  <si>
    <t>USA</t>
  </si>
  <si>
    <t>Tai</t>
  </si>
  <si>
    <t>Yee</t>
  </si>
  <si>
    <t>8 Oak</t>
  </si>
  <si>
    <t>Avenue</t>
  </si>
  <si>
    <t>Old</t>
  </si>
  <si>
    <t>Town</t>
  </si>
  <si>
    <t>PA</t>
  </si>
  <si>
    <t>95819</t>
  </si>
  <si>
    <t>Please leave packages in shed by drivewa</t>
  </si>
  <si>
    <t>y.</t>
  </si>
  <si>
    <t>Lawnmower</t>
  </si>
  <si>
    <t>1</t>
  </si>
  <si>
    <t>148.95</t>
  </si>
  <si>
    <t>Confirm this is electric</t>
  </si>
  <si>
    <t>Baby Monitor</t>
  </si>
  <si>
    <t>2</t>
  </si>
  <si>
    <t>39.98</t>
  </si>
  <si>
    <t>1999-</t>
  </si>
  <si>
    <t>05-21</t>
  </si>
  <si>
    <t>Cristian Osorio</t>
  </si>
  <si>
    <t>456 Main St</t>
  </si>
  <si>
    <t>Buffalo</t>
  </si>
  <si>
    <t>NY</t>
  </si>
  <si>
    <t>98</t>
  </si>
  <si>
    <t>112</t>
  </si>
  <si>
    <t>Please notify by email before shipping.</t>
  </si>
  <si>
    <t>Power Supply</t>
  </si>
  <si>
    <t>45.99</t>
  </si>
  <si>
    <t>Jessica</t>
  </si>
  <si>
    <t>Arnold</t>
  </si>
  <si>
    <t>4055 Madison</t>
  </si>
  <si>
    <t>Ave</t>
  </si>
  <si>
    <t>Seattle</t>
  </si>
  <si>
    <t>WA</t>
  </si>
  <si>
    <t>Please don't deliver on Saturda</t>
  </si>
  <si>
    <t>Computer Keyboard</t>
  </si>
  <si>
    <t>29.99</t>
  </si>
  <si>
    <t>Wireless Mouse</t>
  </si>
  <si>
    <t>14.99</t>
  </si>
  <si>
    <t>Chris Preston</t>
  </si>
  <si>
    <t>123 Main St.</t>
  </si>
  <si>
    <t>113</t>
  </si>
  <si>
    <t>Ship only complete orde</t>
  </si>
  <si>
    <t>r.</t>
  </si>
  <si>
    <t>Litware</t>
  </si>
  <si>
    <t>Networking Card</t>
  </si>
  <si>
    <t>20.99</t>
  </si>
  <si>
    <t>Litware 17in LCD Monitor</t>
  </si>
  <si>
    <t>199.99</t>
  </si>
  <si>
    <t>convertedFont</t>
  </si>
  <si>
    <t>AAEAAAANAIAAAwBQY21hcEyEWdwAAADcAAAFtGN2dCD/RKKXAAAGkAAAB3hmcGdtuFGxwAAADggAAAVAZ2x5ZoXEv/cAABNIAABKXGhlYWQsHBfCAABdpAAAADZoaGVhDUwDkAAAXdwAAAAkaG10eLjPBoEAAF4AAAAAtGxvY2EABpwdAABetAAAALhtYXhwC70cDgAAX2wAAAAgbmFtZaQuvDQAAF+MAAACoE9TLzKhx40oAABiLAAAAFZwb3N0AAMAAAAAYoQAAAAgcHJlcIJzvmkAAGKkAAAKwAAAAAQAAAADAAAAJAABAAAAAAH2AAMAAQAAA8gAAwAIAAAFmgAEAdIAAABaAEAABQAaACAAMAAxADIAMwA0ADUANgA4ADkAQQBCAEMARQBKAE0ATgBPAFAAUwBUAFUAVgBXAFkAYQBjAGQAZQBmAGkAawBsAG0AbgBvAHAAcgBzAHQAdQB2AHcAef//AAAAIAAwADEAMgAzADQANQA2ADgAOQBBAEIAQwBFAEoATQBOAE8AUABTAFQAVQBWAFcAWQBhAGMAZABlAGYAaQBrAGwAbQBuAG8AcAByAHMAdAB1AHYAdwB5//8AAAAAAAAAAAAAAAAAAAAAAAAAAAAAAAAAAAAAAAAAAAAAAAAAAAAAAAAAAAAAAAAAAAAAAAAAAAAAAAAAAAAAAAAAAAAAAAAAAAAAAAAAAAAAAAAAAAAAAAAAWgBaAFoAWgBaAFoAWgBaAFoAWgBaAFoAWgBaAFoAWgBaAFoAWgBaAFoAWgBaAFoAWgBaAFoAWgBaAFoAWgBaAFoAWgBaAFoAWgBaAFoAWgBaAFoAWgBaAFoABQAXAAsADAANACUAJAAmABwAGAAGACcAFgABACoADgApAB0AIwAQABoAGQAUACwAGwAIACsABwADACgAEwAeAAIACQAEACEADwASAAoAEQAgAB8AIgAVAAAABAHSAAAAWgBAAAUAGgAgADAAMQAyADMANAA1ADYAOAA5AEEAQgBDAEUASgBNAE4ATwBQAFMAVABVAFYAVwBZAGEAYwBkAGUAZgBpAGsAbABtAG4AbwBwAHIAcwB0AHUAdgB3AHn//wAAACAAMAAxADIAMwA0ADUANgA4ADkAQQBCAEMARQBKAE0ATgBPAFAAUwBUAFUAVgBXAFkAYQBjAGQAZQBmAGkAawBsAG0AbgBvAHAAcgBzAHQAdQB2AHcAef//AAAAAAAAAAAAAAAAAAAAAAAAAAAAAAAAAAAAAAAAAAAAAAAAAAAAAAAAAAAAAAAAAAAAAAAAAAAAAAAAAAAAAAAAAAAAAAAAAAAAAAAAAAAAAAAAAAAAAAAAAFoAWgBaAFoAWgBaAFoAWgBaAFoAWgBaAFoAWgBaAFoAWgBaAFoAWgBaAFoAWgBaAFoAWgBaAFoAWgBaAFoAWgBaAFoAWgBaAFoAWgBaAFoAWgBaAFoAWgBaAAUAFwALAAwADQAlACQAJgAcABgABgAnABYAAQAqAA4AKQAdACMAEAAaABkAFAAsABsACAArAAcAAwAoABMAHgACAAkABAAhAA8AEgAKABEAIAAfACIAFQAAAAQB0gAAAFoAQAAFABoAIAAwADEAMgAzADQANQA2ADgAOQBBAEIAQwBFAEoATQBOAE8AUABTAFQAVQBWAFcAWQBhAGMAZABlAGYAaQBrAGwAbQBuAG8AcAByAHMAdAB1AHYAdwB5//8AAAAgADAAMQAyADMANAA1ADYAOAA5AEEAQgBDAEUASgBNAE4ATwBQAFMAVABVAFYAVwBZAGEAYwBkAGUAZgBpAGsAbABtAG4AbwBwAHIAcwB0AHUAdgB3AHn//wAAAAAAAAAAAAAAAAAAAAAAAAAAAAAAAAAAAAAAAAAAAAAAAAAAAAAAAAAAAAAAAAAAAAAAAAAAAAAAAAAAAAAAAAAAAAAAAAAAAAAAAAAAAAAAAAAAAAAAAABaAFoAWgBaAFoAWgBaAFoAWgBaAFoAWgBaAFoAWgBaAFoAWgBaAFoAWgBaAFoAWgBaAFoAWgBaAFoAWgBaAFoAWgBaAFoAWgBaAFoAWgBaAFoAWgBaAFoAWgAFABcACwAMAA0AJQAkACYAHAAYAAYAJwAWAAEAKgAOACkAHQAjABAAGgAZABQALAAbAAgAKwAHAAMAKAATAB4AAgAJAAQAIQAPABIACgARACAAHwAiABUAAAAEABoAAAACAAIAAAAA//8AAP//AAAAAgAABY4AAAVMAB8FTAAcA3EAGAAA/+EAAP/oAAD/6P5K//wFawAj/mj/4gM+AAAAlQAAAJUAAAAAAAAAAAAlAKgAjgELAH0AggBFADIApADKAGsAcABRAK8APADwAdcARwAEACUAdwApAEAA/QAWAWEARgE3ACkAjgAX/8oAJQBb/+kC5gACAJkAgQDyAHUA1gBjAMYABgCaATMAJAA4AMwAPf9nABMF2AA2AIYAlf/bAAcENAClANj/3P/+AEgAogDYATwBUwOABT4AVwB6AHwAjAEXASoBOAF8ACYAPAB4AL0AwAIQCbUADABNAE4AVABYAGcAtAQBAAIABQBQAK8B1QNDACQAWACLATUBwP+sACAAJQAmAC0AQQE2Aiv/ugAeACoANAA7AD8AhQCUAJgA1wEuAT0DMQS5ABcAQABhALkBDgEWASIBv/+cAB8AHwBNAFwAhgCMAJYAqgDLAMsBHwFUAi8DYAWp/ugADgBvAHwAfQCLANUA8QEKAVcBeAK4A63+P/9q/7P/xAAfADcAPwBEAEoAeAB9AJcAogCnALYAwADBAMYA2AEdAVABlwHuBHQFMv2B/tH+4P8W//EADwAtAFUAaABuAH8AiQCVAJ4AwgDaAOQA+AEEAQgBEQHCAjAC2gMOBJ4FF/8A/4cAAAAgAC8AQQBXAHgAhwCIAIgAuQDCAMUBIAEoATMBdAHWAg4CDwJsAn4CqwLsA4kDsQPjBOf/Q/+o/8P/3P/pAAcAIwAjACYAUgB3AH0AgQCPAJkArACuALUAuADIAOoA8AD0ATUBagGLAbEBtQH3AhQCrQLVBPwF2AXw/53//AALACQAJQAsADAAMAAzAEAARwBJAFcAbgCaAL0AyQDNANwA+gD6ARsBOQF+AYcBigGOAZUBlgHfAfYChgLPAt4DlgOpA7ADyAQBBDIEagWLBeAGUQdh/pb+mv9L/4cAEwAlADQAOAA+AEoAZQBrAHMAegCcAKIAsgC3AL8A8AD3APsBBAETASABJAE7AVIBeAF8AYEBjwGgAdkCSAJqAm8CcAMBAx0DIwMnA4gEHwSrBNEE2gV6BYv+Jv5Z/y4AAQACAAoAOwA7AEcAWABYAF8AZgBrAHoAegCLAJkArwC8AMAAxwDMAOkA8gD1APsA+wECAQoBCwEVASEBJwFFAUUBVQFXAVgBXgFhAWgBfQGjAasB2gHuAhACGAIiAo8ClAKjAtIC5wNxA5MDmwOzA9MD/gT/BQsFMgUyBUsFWQWLBasF8gZVBokHQgdiB6cIzP0q/cj93v4M/hX+J/5T/oT+u/9Y/3b/d/+h/6f/rf+v/8AAAAAAAAMAlAAdAB8AIAAgACcALgBIAEsATABeAF8AawBxAHwAigCQAJEAkQCnAK8AswC0AMQAxgDRANIA3gDfAN8A5gDoAOoA6wDyAPUA9QD8AQIBGAEjATEBMwE3AVwBYgFmAXABegF6AXoBggGYAZkBmwGwAb8BwAHKAdMB1wHYAeAB4AH2AfcB+AISAhMCLwI3AkQCRwJPAlICYwJlAnACfwKYApsCpgK3AroCxQLPAtYC1wLlAv4DHAMdA0UDSANdA14DcQN5A4EDoQO3A9QD1QPYA+ED+AP+BAQEHwQhBCMEJQQ6BGcEgwTgBSgFSwVkBWoFnwWfBcIGCwZqBq8GswbLBugHBgcoB0gHUAemB7IH/wCVAK8AkgCWAAAAAAAAAAAAAAAAAX4BqAEpAlsCEgIDAcMCtAGTAc0CsgTtAg4BWQF6AwACLQQsAMgATQDmAokDJQE+A3gBGwDxAY0ASQIDAHwADgKdAkcAJAAAAAAAUgBEADMAOABUBdMEFQGnAAAChgFoAFAAzwACAEsAJACIALoAJf/YABEAkf9rALUBFwAmAGX/mQBJAIABSwHAAPQBZwJxAuoE/AMQAXwB4QPZAVUB5gHuBDQBlgbLAFwCKwCZAD0AnwAWADkAJwDeAHkBIAIuAFoAmQOIAJQAIQAZACoEbAXoAAAB8gOyAKoClgKJArT/yQIAAOwABQBaBEcBAATgAAAFKgAfAesArgFoAMoC0wKJAbUEBgGhAU8BSwEcAwgAXgDHACQCnQBlA3UBBAKAAvME2ADZAjkCWgMsAfIEMQMDAFAC5QKDAFkB6wEIAKwBlgL4ASEAlQGAAEQA5QHrAuUAdADzAf8C/QOPAmgByAHHARYCKwFCAzAA/gLhAWICAAAkAO4FFwEIAjcAZgAGAQIB5gKqA2YBmwDTBcID3ARNA7YABAG+ATcC/AMgAkQBTQM4/+0AJQb4Aw3+1f9DAEQC//+SBAv97wFVAXEA2f/EAy0EYQRK+7X7zwIXAZIDbQVY//L+fQWDAj4AZgXpBz0AeQJDACUAzwD9AK8AKgHvAhoAJgAfACUAOgAAARcEkPv7AlEAHQLwAfUAeAGPAF8AJABEAFQAvwCvAGcBqAAmAAUABgA/AJgA+gKrAMIATQN1AEoAtgDEAb8BfABvABMCYwAMAGgBUgACAS4BBAAfAB8AmgAAAPEEaQB5AIAAUAC9BWsAqwCAAB4FpUBAQD8+PTw7Ojk4NzU0MzIxMC8uLSwrKikoJyYlJCMiISAfHh0cGxoZGBcWFRQTEhEQDw4NDAsKCQgHBgUEAwIBACxFI0ZgILAmYLAEJiNISC0sRSNGI2EgsCZhsAQmI0hILSxFI0ZgsCBhILBGYLAEJiNISC0sRSNGI2GwIGAgsCZhsCBhsAQmI0hILSxFI0ZgsEBhILBmYLAEJiNISC0sRSNGI2GwQGAgsCZhsEBhsAQmI0hILSwBECA8ADwtLCBFIyCwzUQjILgBWlFYIyCwjUQjWSCw7VFYIyCwTUQjWSCwkFFYIyCwDUQjWSEhLSwgIEUYaEQgsAFgIEWwRnZoikVgRC0sAbELCkMjQ2UKLSwAsQoLQyNDCy0sALAXI3CxARc+AbAXI3CxAhdFOrECAAgNLSxFsBojREWwGSNELSwgRbADJUVhZLBQUVhFRBshIVktLLABQ2MjYrAAI0KwDystLCBFsABDYEQtLAGwBkOwB0NlCi0sIGmwQGGwAIsgsSzAioy4EABiYCsMZCNkYVxYsANhWS0sRbARK7AXI0SwF3rkGC0sRbARK7AXI0QtLLASQ1iHRbARK7AXI0SwF3rkGwOKRRhpILAXI0SKiocgsKBRWLARK7AXI0SwF3rkGyGwF3rkWVkYLSwtLLACJUZgikawQGGMSC0sARgvLSwgsAMlRbAZI0RFsBojREVlI0UgsAMlYGogsAkjQiNoimpgYSCwGoqwAFJ5IbIaGkC5/+AAGkUgilRYIyGwPxsjWWFEHLEUAIpSebMZQCAZRSCKVFgjIbA/GyNZYUQtLLEQEUMjQwstLLEOD0MjQwstLLEMDUMjQwstLLEMDUMjQ2ULLSyxDg9DI0NlCy0ssRARQyNDZQstLEtSWEVEGyEhWS0sASCwAyUjSbBAYLAgYyCwAFJYI7ACJTgjsAIlZTgAimM4GyEhISEhWQEtLEuwZFFYRWmwCUNgihA6GyEhIVktLAGwBSUQIyCK9QCwAWAj7ewtLAGwBSUQIyCK9QCwAWEj7ewtLAGwBiUQ9QDt7C0sILABYAEQIDwAPC0sILABYQEQIDwAPC0ssCsrsCoqLSwAsAdDsAZDCy0sPrAqKi0sNS0sdrgC7iNwECC4Au5FILAAUFiwAWFZOi8YLSwhIQxkI2SLuEAAYi0sIbCAUVgMZCNki7ggAGIbsgBALytZsAJgLSwhsMBRWAxkI2SLuBVVYhuyAIAvK1mwAmAtLAxkI2SLuEAAYmAjIS0stAABAAAAFbAIJrAIJrAIJrAIJg8QFhNFaDqwARYtLLQAAQAAABWwCCawCCawCCawCCYPEBYTRWhlOrABFi0sS1MjS1FaWCBFimBEGyEhWS0sS1RYIEWKYEQbISFZLSxLUyNLUVpYOBshIVktLEtUWDgbISFZLSywE0NYAxsCWS0ssBNDWAIbA1ktLEtUsBJDXFpYOBshIVktLLASQ1xYDLAEJbAEJQYMZCNkYWS4BwhRWLAEJbAEJQEgRrAQYEggRrAQYEhZCiEhGyEhWS0ssBJDXFgMsAQlsAQlBgxkI2RhZLgHCFFYsAQlsAQlASBGuP/wYEggRrj/8GBIWQohIRshIVktLEtTI0tRWliwOisbISFZLSxLUyNLUVpYsDsrGyEhWS0sS1MjS1FasBJDXFpYOBshIVktLAyKA0tUsAQmAktUWoqKCrASQ1xaWDgbISFZLSxGI0ZgiopGIyBGimCKYbj/gGIjIBAjirkDsAOwinBFYCCwAFBYsAFhuP+6ixuwRoxZsBBgaAE6LQAAAAACAAAAAAJYCAAAAwAHAAABAQEBAQEBAQAAAAACWAAA/a0CTgAA/bIAAAgAAAD4AAAFAAAH9gAAAAH/0gAABQ8FTAA3AalApkAZtBkChRmVGaUZA4cchieWHJctpxunLbsEtRK1HLctCmccdhyGAAMFDxQPSRkDM0AbOQQiFTkZIhMVPhobAQ8PAAEPEBAABywODl8IHQcdJB4dHS40Nze+Lx0uBkgCAmEFHQYbhBcX8BodGwQsASwlKx0sABAQHiQlFCQkJTcuLAIuDg8PFSwCFy4dCCQ4KCUkEAapB0AjEj8vBwEHHKkbQBcYNBu4/8C3HUc0G5Iuki24/8BAFhocNJ8t7y0CLRo5AqoBLw6qD6kAmRC6AwEAJQNFtBIPJAEkuP/AQAsUFzQkQBE5gCQBJLgBc7Y4CSQXJDgKugFzAToAGCsrEDwrK04Q9F0rK3FDXFi5ACT/wLMcET8kuP+AsyYXPyS4/4CzKBg/JLj/gLYtFz8kQBg5KysrKytZAU3k/eT05vTmThD2XStN9PwrK+QvXSvkKxA8KxDAAD/tPxI5LzztEO2HDi4rBX0QxBgAEO0BEMBdLu3sABD1AS7t7AAQ9QEu7ewAEPUQ7QEQwC7t7AAQ9QcFEDw8h30QxAEQyTEwASsrK11dXQBdXQEDMzI2NzMDIzY1NCYmIyMDBhUUFxYzMzI2NzMDITc2NzY3NjcTNjU0JiMjNyEDIzY1NCcmJyYjApebf4h6LCWLKBIjPWKBgxMZEUR4w+tdJYD76A1OGygSGyXuHDVNFQwDzlQlBxoiQTCtBQP96FNw/hQ+LCs0Gf4/QSIaFA6Kq/6HJQIMEhwpgwMyYzQmKyX+uS4fNSQuGBIAAQBP/+gCYQWOAB0BKUBKCQABEgAfAR9AGjVUAFQc7x/5FwQKIAswC0ALUAsECx1FFVooHDAdTQAAAAMAHQMfEhUUEhIVDwsSHigVEhAgCzALQAtQCwQLbAq6AbsAHQEkQAwDJRIAEgHAEtASAhK4ATtACh4JEhcSHgp3TBgrKxA8KysQ9l1xQ1xYuQAS/8CzFw4/Erj/wEAJMhk/EkAoFD8SuP/AsyUWPxK4/8BAEyMVPxJAIRQ/EkAXDj8SQBAbPxK4/8CzDxk/Erj/wEAJDhc/EkANFj8SuP/AtRg5EkAWOSsrKysrKysrKysrKytZAe3k9OxdKxA8KxDAAD+HDi4rCH0QxAAYP/XtK/wB9QAQXckxMAFdKwFxQ1xYQAsLQBcOPwpAFw4/Abj/3rEjOSsrK1kBXQEBBhUUFjMyNzY3FwYHBiMiJjU0NwE2NTQmIyIHNQJh/qoZEw4TFjQ5Hl9QOzUmMyABDyEmKBcvBY77WlkUDxQRKVYfhjUmNCIkcAOqcxEYHwclAAIAQP/oA3EDiQAaACUA/kA2DxALJRgQGCUEAAgQCAISUwhRCQIoCSolOAk7HkgHSQhJCUgKWwhXEFUlkwSiBKUTsgS2JRAnuP/AQD0mNQkiHBE/CCISCz8ICQgJBRsACAkVIACKG0AICj4NGx0bLxsDGxsLIyQSBwUnCwsgOg8VHxUCFRonAEkCuAOBQBcOgFM1DoAoUD8OQBwRP58OAQ4ZJivDGCtOEPRdKysrTfnkThD2XU3tAD/tP+0SOS9dK+0BERI5ORI5ABE5ORDJMTABKysrXQBdQ1xYuQAJ/96zEgs/Cbj/3rMRCj8IuP/esxEKPwe4/96zCQw+CLj/3rIJDD4rKysrK1kAXQFdEwYVFBYzMjY3FwYjIiY1NBIkMzIWFRQHBgcGJzY3NjY1NCYjIgb0B35aSIWDFe3XkpS4ARaTamZCV6lwxJRde3s1MWblAXkyIVl9O2Ud67hvlQE4rVY7U0xjPSkaESk3mUUqNNkAAQAn/+gDrQOJADYBj0AJARgMOS0YDDkKuP/eQJwTFD4UIhM5CC8WABsCGy8EUQdSCVIeUSB5AXstiR6mJ6QougK6JgtcAVwovwEDWglaHlogA2kGaQlqHnkJeR57JgZWKlE1bCYDUgABFCIZNRMiGTUBAQIqKysAExQ2RS1aKDUwNk0AASMsAQAtnyMBIzEEBAAHBwwMHxsgFBsbIAArADYrHywtFCwsLSwrChgLGzcoIBstLBAUihO4AUOzDAclILgBJLIMJRu4/8CyXDUbuAKVsjXJLbwBJAArAgMALP/Ashc5LLj/wLJcNSy4/8CyOjUsuP/Asyo0NCy4/8CzIyQ0LLj/wLIcNSy4/8BAExkaNO8sASwZNxsXLBcbNwoyhhgrKxA8KytOEPRdKysrKysrK03t5OT0K+307RD27SsQPBA8KxDAAD8/PIcFLisIfRDEhw4uGCt9EMQAGD88EO1yARESOQAREjkQ9e0r/AH1EMmHEA59xAg8MTABKytdXV1LsDJTS7A2UVpYsSAiOFkBXQBdAV1xKysrKwEDEjYzMhYVFAcDBhUUFjMyNzY3FwYHBiMiJjU0NxM2NTQmIyIHBgYHBgcHIxM2NTQmIyIHBycBxIW7x1wyQR16FRAJDBE1Px9dUzouJSwidBYaExwnSqBZLx8ylrYgIxoMHiYGA4n+OQEXsEI1PGT+W0kQDhMNKlYThTknLSYwdQGSSyoUGRgtz6FVZaUCcnEXFiEEBiQAAv+cAAAEYAVrACIAJQGRQIEDFQAWBBgDIQgiCiMGJAcMIwEvIz8jTyNfI28jfiOOI5ojuyPnIPYgCwUhBSMFJDAhMyIwJEUdRSJVIm0dZCJmJHYUdSKoItQV1SHXI9YkEyYiMBQwFTEdBCkALBsvHC8dBCdAGTo0JkATOjQTJSMSFCQjIxUhIiIgChILHQodISG4AhtASiIhHh0dCQEIHQkcFRsdHCMVFSMhIhQhISIjEiMVEh4BABQBAQAkJRQlIxMTCSIAAx0cHAoKCQgDIhEiAiIAIyEVFCQEEiYwFQEVuP/Asws6NBW4A0K3I34iQBkbNCK4/8CzCzo0IrgDPrUAQBkbNAC4/8CzCzo0ALgBQkANAUAQOjQPAS8BTwEDAbgDTrUmiyMiACC6A1oDWwAYKysQ9F0r9Csr9isr9OYrXRESFzkREjldAD88EDwQPD88Ejkv7TwQPIcOLisIfRDEhw4uGCsEfRDEGAAQ7QEQwAAQ7QEQwAAQ7QjsARDAABDtARDABw4QPAcFEDw8Bzw8MTABKytdXV0AXQBxAXEBAwYVFBcWFjMHITczMjc2NzY3NyEHBgYVFBYXByE3NjY3AQMBIQQfZwgPE0FNC/3qCxdBKR0QCwoQ/nyKLxg0PAv+bwtKcXADKqP+dwFVBWv7mE8ZKBUdHCUlHBMsH3Osuz83GCAuAiUlA12YBE7+s/3pAAIAJ//oBFQFjgAvADsBwkCeBx4BFCIZDz8LQBk1CkAZNQtANjw0CkA2PDQLGDQ1NAtAMjM0CkAyNTQbChoLaQppC98K3gsGPxVPFV8VVTMEC0AZNQpAGTULQCI6NDY1SR5JO1UuhzWWAZsUmhWmALYBuAq1HbQ0szUOVAABJgEB8zUBDBgiOjQKQCI6NAtAIjo0PUAlNT1AIyQ0PUAcNRQUFSMkJiYTbAoBCgsv/ia4AfNAJiguMC9NIxQzOTAmGzo2IxQDEwAAKAADAC8DHxMmFBMTJjMkIAc5uP/ash45ObgDLkALGBgOCxM8KCYTEAC4AwOzJq8TC7j/wEAKNjULQDKeNAuKCrj/wLc2NQpAQ540CrgBQ0AKA+QvlQATEBMCE7j/gLJTNRO6ApUANgOBQA4bgFM1G0AlNRtAHSQ0G7j/wLIoNRu4/8BAES40NO8bARsZPBMXEzwKMqcYKysQPCsQ9l0rKysrK+n0K3Hk/fYrK+0rKxD07SsQPCsQwAA/PBDtKz/thw4uKwh9EMQrGD8BERI5ORI5ERI5ABESOTn17Sv8AfUQyV2HDhA8PAh9xDEwASsrKysrK3FdXV0AKysrcgFyKysrKysrKysAXQEBBhUUFjMyNzY3FwYGIyImNTQ3NwYHBiMiJjU0Ejc2MzIWFxM2NzY1NCcmIyIHNQM0JiMiABUUFjMyAARU/qgcEQkNEiJQIkiTQCIsHieRd1JLTHG+nHtnNk4mYgsHDA8VIRc1G0o5fv7vQi5oAToFjvtkYB4KEg0YYBVkfDAsOWB84FY7h3SVAVJqVSwzAVwlFigaFQ4RByX9c0BO/mC+S08BwgACADD/6APBA4kAJgA1AdlAGAkgCCE1AYQBhCqVAZgbkyqYLqwztisLMLj/3kAXDBQ/pBakMQI2KkogAgwiGTUMDiIoNA64/95AOSIoND8XTxdfFwM9MAEMQCIoNAxAGTW5Ftkm6CYDAQIEBAAWFhclJiYVDA0WJy8yJiUWBDEVLDMdJrgDlUATACckIiIABygABAQfFSYUFRUmL7j/3LMeEj8vuAMuQA0aGhALFTYoJhUQDYoMvQFDAAQCAwAVAAACA7cmrRVAHhI/Fbj/wEAOIyU0ABUQFTAVA5AVARW4/4CyUzUVvQKVACwDgQASAB3/wLMuNDQduP/AQBcmJzQdgFM1nx3vHQIdMjYVFxU2CjLDGCsrEDwrThD0XSsrK0NcWLkAHf/As1AoPx24/8CzMhk/Hbj/wLMYKD8duP/AsxUjPx24/8CzDxk/Hbj/wLMeEj8duP/AsxMZPx24/8CxFzkrKysrKysrK1lN6fQrXXErK/TtEP327SsQPCsQwAA/PBDtK4cOLisOfRDEKxg/ADwQ7RDkARE5ERI5ETk5ETkAERI5ARDJhw59EMQIPIcOEMTEMTABXQArK11yASsrK10AS7AqU0uwOlFaWL8ANf/UADT/1AAo/+gAJ//oODg4OFkAXSsBXQEDBwYVFBcWMzI3NjcXBgYjIiY1NDc3BgcGIyImNTQSNzYzMhYXNwciBwYCFRQWMzI3NjU0JgPBwxYDCggMDRUnQSJFkj4rKxYVg25PTElqv5NzZj1RFSTFQEhmn0QsbYCrQgOJ/VpbDQkQDAkQHVsYaG0rKTFQS6tEMXlqnwFhalRASnIcPFX+sodET6HW4VVMAAEAI//oBW4DiQBTAkVAhBkBARI4LQFZCVsMXw1XFFw4XTpdO148VVJoE2kWaix5DHkWeix4PIkDiyyLPIlDnQObDps2nUOnAasNoTepOK85rzqvO648qkSjRbU4tjq2SCVrNmg3akQDUgBZRFJSA4k2iESYRQNlOXo2dTp7RHZIozkGKAElOSdHL1VvVAUhIlP+S7gBHEBUKFIwU00ADToHAUlBDQo6AQBLNDEREUExBwdTxgAHFBkZHykwFCkpMAo6Oh87PhQ7Oz4ASABTSB9JSxRJSUsmC0lISDs7OgopVCgwKT47S0kQIoohuAFDsxkUJTC4ASRADBklKUAONWAp3ykCKbgCNLZvOgGvOgE6uAIDQBU7QCM1O0AbHDRvOwE7UAoBCiU+rTu6AcAASAIDtEutUslJuP/Ashc5Sbj/wLIjNUm4/8CyHzVJuP/AsxscNEm4/8CyGTVJuP/AsyosNEm4/8BAFy80NG9J70kCSRlUKRc7F0kXKVQKMoYYKysQPCsrK04Q9F0rKysrKysrTeTk7fT07V0QcSsr7V1x9F0r7fTtEPbtKxA8EDwQPCsQwAA/PBA8EDw/hwUuKwh9EMSHBS4YKw59EMSHDi4YK30QxAAYP+Q8EO08EO0BERI5ERI5ABESORESORD17Sv8AfUQyTEwAV1dXV1dXQFxQ1xYQBENGAw5PBgMOQAiDDlKGAw5Nrj/wLIPOQ+4/96yDzkEuP/esg85ALj/wLIPOVO4/8CyDzkXuP/ethMUPiIiEzkrKysrKysrKysrK1kAXQEDNjc2NzYzMhYVFAcHEjc2MzIWFRQHAwYVFBcWMzI3NjcXDgIjIiY1NDcTNjc2NTQnJiMiBwYHBgcjEzY1NCYjIgcGAgcGAyMTNzY1NCYjIgcnAbyCVz1fWjU6MkIXR6OSUU8uOxJuJAkGCgoZOTIhGX9aJiMvKVsfAgMLDA8qL4p4T0WXqxwWECElPL00GV6UuRgHKB8NOwkDif49n1B8OCBAMjFP/gExe0Q/QjpB/nt/Dg4KBxMsSBUojDIwIzCRAUFvDBMSGQ4OK3/ll+wCXWIhGxoYJ/8AdTf+1gKIVBMJFiMMJQAB/+3/6ALnA4kAMAC3QCQyAQEXIhsQPwgLBA8YCxUPOicFKAsjD5kDAy8BPwFPAV8BBAG4AQRACi7GADAHBSQpBxm4AbVANBXGGBcLHSQRCwKKAMYBQBILP1ABAQHJDjrQIOAg8CADfyCPIJ8gwCAEIKAIOiaVGooZxhi4/8BAEzQ1GEAwNRhAISI0oBjAGAIYfDG6AUQBZAAYKxD1XSsrK/Tt9O30XV399F0r5O0AP+0/POTtP+0/POTtXTEwAV1dKwBdAQMjJiYjIgYVFBYXFhYVFAYjIicmIyIHIxMzFhYzMjY1NCcuAjU0NjMyFxYWMzI3Auc9JQVoTT5JHTGCTK2ESF4hEi0XJT0lBnJjTFkQHLMzjW8gGg5nESsdA4n+zYZ6RDAhPDaOkEBooSIMLgFEmH5VPigiPNRqNWGGBQMnLwABAH0AAANXBWgAGwDKQBoHGgFWAmcCdgJ0A70NBQgACBAXARcPBAgPCbgBOLMIBwEGQQsBOAAHABoBowAQAg4AKAAZATgAGgH9QBMAEA8BAwAIKBAPD+YBABQBAQAZugH0ABoDDUAJGxsABQgHDAABuwMoABAAGgILsx8PAQ+4AydACxABHCgAEAEXARwKugIoAeMAGCsrEDwrKzwrEMABK/Zd5Dz1PAA/PD88EPTthw4uK30QxCsREhc5GAAQ9e0r/AH1ABDtARDAABDtARDAMTABXV0AcQEBBhUUFhcHITc2NzY3NjcTNjc2NTQmIyIHJyUDV/6+HDNeCv39DlIaKhUhIugVAgMmIRo3DQFRBWj7n2MsJScHJSUCCxIeLncDJUkLFBMjKAwkXgABACAAAAPABWgAHQChQCGPCIYLnAiWCqwIqwy/CLoMzgjOGArvA+oE6xbvFwQLDB29AaMAGQAZAXcAHAE4QBUdAxcYBBYFAhUUEwMSBgMXBBYEAQu4AgJADAmrDwUZGOYAAAEMDL8CFwACAfcAHgAGASEAHQICshIaH7oB9gHvABgrThD2TeTtEPbkAD88EP08P/3kEhc5ARESFzkSFzku7ewAEP0BEMkxMABdAV0hITUAEzY1NCYjIgcnNjYzMhYVFAcGBwYBITI2NzMCw/1dAgSmTYBmjVsjM8RygbAfMIHE/rkBVFJqFyglAcQBAXeDaIOHEIGPsX5YS3WR3v7fRDkAAQBE/+gDoQVoAC4AzbkAFP/AQEYRHD9dLW0tdCZ9LY4tmi2lCqkYry27ArsHtQq5GL8tDl4AXwECZRR1FAIFAgkPDCkDBgMWAyQUnS2qLb4t9RUHBBQUFAIUugOOAAAB9LMBAQ4iugMOACgBbLIbDQu8AZcACgICAAgBbLIOBSu8ASEAFwMNAAUBIbZAEQEvEQERvwGeADAACgH0AAsDDwABAhezLx8BH7wDXQAvAMgDXAAYKxD2XfT07RD2XXHt9O0AP/305D/t7RI5L+3kXTEwAF1xcQFxXSsBNTY3NjU0JiMiByc2NjMyFhUUBgcWFhUUBgYjIicmNTQ2MzIXHgIzMjY1NCYmATnyd1ZkR3BXJTSjYXaSiadoapD7in5BKzMlGhoQfUYlWnVPqgLlHSVrTGlPZ4sLdHeNbFyqQyuhcX37iSweKCMyCAVGF9F2YJZdAAH/vQAAB2QFTAAxAc6zGQIBAbj/wEClFAw/VgFaHgISIgg1HUcbRh1YHFcdZwC0Idcd9x0KJxzGHQJmHYYdth0DJh0BLSIQET4AMBARPh4iEBE+MS0wHTEDCQQdAxMaFB0TJiwnHSYSChEdEiUfJB0lAAEBHh0eFB0BAh0eCQoKHhobFBoaGwIBASMcGxQcHBstLCwjHx4UHx8eEhMTHCYlJR0dHAgxAAMCAgACHRwBAxofGjIoGxoeHxAKuAGktBpAETkauP+As0OnNBq4/8CzGB00Grj/gLMeOjQauP/AshQ1Grj/wEALDhE0IBp/GqAaAxq9AosAMwAAAU0ALAFzQAsfQBARNB9ADA00H7j/wLMYHTQfuP+As0OnNB+4/4BAER46NB9+MhoXHxcaHzIKPG8YKysQPDwrKxD9KysrKyvt5BD0XSsrKysrK+0rEDwQPCsQwMABERc5AD88EDwQPD88EDwQPBA8EDyHDi4rDn0QxIcELhgrBX0QxIcOLhgrDn0QxIcILhgrBX0QxBgAEO0BEMAAEO0BEMAAEO0BEMAAEO0BEMAAEO0BEMAAEO0BEMAxMAErKytdXV1dQ1xYQA8cGBQMPx0iFAw/ACIUDD8rKytZAF0rAV0BEwEhFQYHBgYHAwYVFBcWMzMHITczMjc2NjcTASMDAwYVFBYXByE3MzI3NjcBJiYnNwKJfQMTAUtsEyE3IPsWGyZSGAn9xQobTCgfMSzg/Okof/IfNmgL/kELG2MsICMBJyE8UQoFTPu8BEQlBwcNTm/8pEsrJxQdJSUWEFmZAxL7sQRP/LlrJSUnByUlMiR4A/MiGAclAAL/Hv5KA8gDiQAjADIBU0BLVQGNDJ0MrQy8DQU5FUsARg5GFUgqVQZlDnUOeRqsKLkIvCm5KskaDkMiUABWDgMwADQiQAADAQ0kMTIODgAWGhcwFhUOFDAVI0UbuAGnQA4oIjAjTQAkAS8mAQAbL7gDjUAiBAQABygADgAjDh8aGxQaGhsmJAoLFhUODxoBGjMoGxoQLLoDgQAH/8CyLjUHuP/Asik1B7j/wLInNQe4/8BAFSA1B0AfNU8HAUAHUAdwB6AHwAcFB7oDOwAAAyu0GyMjuBq4/8C3MjUaQB4SPxq4/8BAEhw1GkAbHTTvGgEbGTMaFxozCrgDOrFWGCsrEDwrEPRdKysrK3roGC8Q7f1dcSsrKysr6SsQPCsQwHEAPzw/7YcOLisIfRDEKxg/ADwQ7QEREjkAERI5ORD17Sv8AfUAEO0BEMAAEO0BEMCHDhA8PDw8fcQxMAFdXV0AXQEHNjYzMhYVFAAjIiYnAwYVFBYWMwchNzY2NxM2NTQmIyIHNRMWMzI+AzU0JiMiBgcBxUVtq1lZfv6a7jJNMEkWFzRNCf4pCl1BJP0XHyAdNG4+aTRsZ1JBSTFs0zEDieaAZo1x3P45Fhz+/kwXFh8RJSUEOH8DbFMUGx4HJ/0TSjpylcpjUFX4pgABAA7/4QRWBWsAOwFVQIWFLIEvAl4NXg5eD2oNbw5vD28QfQ1/Dn8PexCALYAunA2dDpwPECgAKg00LVQtZyFkLXwIew5yLokIhiqGLZsMmg6aEJUzqACtDK8Orw+sEKUuqS+5Ab4MvA6/ELMuti/0Lh4WLlELUAxTDVstVC8GBhQXFEoMSA5KEIQuBg8tDS4EBygduAMeQAooZBUj7yEhFQMCuwEuAAAAOQMeQBEHMzQ0AAkQKxIKrCAwMDACMLgDHrUjiCIgiCK4AUK1HyHgIQIhuP/AshM5Ibj/wLMZGzQhuP/AQBsiJzQvIT8hgCEDIRo9K6wSQC41EswCiAE7iAG4AUK1nwDgAAIAuP/AtyInNABAFzUAugE2ADwBNrF9GCtOEPQrK11N5O0Q7fQr7U4Q9l0rKytdTeTtEO30Xe0REjkAPzwQ7ewQ7T88EO0Q7ewREhc5MTAAXXIBXQBxAXEXEzMGFRQWMzI2NTQnJicmJyY1NDYzMhcWFxYXFjMyNjczAyM2NTQmIyIGFRQWABYVFAYGIyImJyYjIgcOcCIHr42DiB8vzGMcLtSmODIfUjoGDhEdKhwmaCIEoINoglMBK1htzHk8aHInGjshHwH3STCJrKFpRDhT0WQxUVmOygsGIhcCAx4x/j48JXmaelBGf/7hoVtnwWoWKw9QAAEAV//oAmYEgQAeAQa5AAX/3kBxDzkPQA85pAXvAvsOA1UbigD2AQMkHToAWw4DDyAdIAJ/IO8gAh4ADg8BBAUHBwAdHB4bARocHR4YBRkEAQgAFhoZGQQEA5MAoAIBBhMLAAcHHxYZFBYWGRYfKBkWEAJJDwMfAwL/AwEDbCAArwcPig66AQEABwIDQAwSFkA2OTTAFtAWAha4ATtACh8JFhcWHwp3TBgrKxA8KysQ9l0rQ1xYQA8WQCgUPxZAHBE/FkAeEj8rKytZAf327RDkEPRdceQrEDwrEMCHDi4rBX0QxAAYPz885P08EDwQPAEREhc5ABESORE5OYcOfRDEBTw8ARDJEMkxMAFdcV1dXSsrAQMzByMDBhUUFjMyNzY3FwYHBiMiJjU0NxMjNzY2NwIXTp0RnKwcEAsZKRhTIVxSODksOCCnlwpukloEgf7wP/2yXxwREiMUZxmGNyY3KzZvAkMnHneTAAEAJgAAAzkDiQApAPlAQQIYDDkhGAw5UQFVA14JXgpSKaoDrA+qGKUaCYUalRr/KwOJBJkEAh4fHwEARSHqKCkwAE0BAhQgAh8CASEvDQENuAGfQCIUJQYGAQcoAR8BAB8fICEUICAhIB8KKCEgEDAJQAlQCQMJugJAAB8CA7IpySC4/8BALhc5IEA0PTQgQCw1IEAkNSBAIjUgQB8gNCBAHB00ACABACCfIL8g0CDvIP8gBiC4AYi1KyAXMkwYKysQ9F1xKysrKysrK+T95F0rEDwrPzyHBS4rCH0QxCsYPwA8EP3kXQEREjkROQAREjkQ9e0r/AH1hw59EMQxMABdAV1dKysTJQMSNzYzMhYVFAcGIyImJyYnJiMiBwYHBgcGBwYHByMTNjU0JyYjIgdnAVmQr49RMyEmIhgtFyEEAgcICxEPGjVTYSoeKgYgmbkgDxQhFTgDUTj+GgErd0QnJUI8LR4fEwYICA5AYpxCU3IXfgJtbC4SDBAJAAIAWP/oAi4FFgALACkBJEAnF246NRZ2OjUSK0ASNStAGRs0WQwBGSMBFhcpRSFaKCgwKU0MAHAGuAOcQBoMBygMDwwpDx8eIRQeHiEbCx4qKCEeEBeKFrgBQ7QPCXADDLgBR7IDYA+4ASO3KWwSHkAbNR64/8CzOjs0Hrj/wLMqNDQeuP/AQAkjJDQeQB8gNB64/8BAExMWNDAejx4CHhkqHhceKgp3hhgrKxA8K04Q9F0rKysrKytDXFhACx5AHBE/HkANET8euP/AsxYNPx64/8CxFzkrKysrWU3k/eTmEO0Q9u0rEDwrEMAAP4cOLisIfRDEKxg/APbtEPXtK/wB9RDJMTABcV0rK0NcWLUXQAwUPw24/962EzkXIhM5Dbj/3rUPORdADzkrKysrK1kBKysBMhYVFAYjIiY1NDYTAwYVFBYzMjc2NxcGBwYjIiY1NDcTNjU0JiMiBzUByio6OykpOzo3xhQTDQ8VOTojRFxEPik0GYIgHxsWRQUWOiopOzspKjr+c/1DRw4QFBAtUxdoRzUxJSVWAcBuHBYcCycAAQEA/+EFyQVMACEBSUBAAAkACgoRCBQIGwYhBhURQBACEjgRPRU7GTkgOSFIEEwRfRF8E44RjxWdFJwVvRUOZR9kIAKcEa4RvBEDICMBI7j/wLMgIjQjuP/Ash01I7j/wLMaGzQjuP/Asy46NCO4/8BALCo1CQ8KHQkaIBsdGggBBx0IGREYHRkPEBAeAAEUABARAAEREBAjISAUISEguP92QBIQACEgGhkZCQkIAiEACS8RARG4AoqyEH4hugM+AAEBQrUAQCgYPwC4/8BAEBk6NA8AGQAwAIAABAAZIgm4A1GxwhgrK04Q9F0rKwFN5Pb05F0APzw/PBA8EDwrhwQuKw59EMSHCC4YKw59EMQYABDtARDAABDtARDAABDtARDAABDtARDAMTABKysrKytdXV1dQ1xYuQAf/96yGTkguP/eshk5Hrj/wLEUOSsrK1kAXQFdBRM2NTQmIyM3IQcGBgcGBwMBNjc2NTQmJzchBwYHBgYHAQE3cAhDSCQKAhcLV0ETCgtQAhFWFg8uPwwBmAoxHTdtdv0EHwRpVh4tPCUlASIpFmf81wLSdS4fFxsoBCUlBA8aaqH78gAB/2D+RgOGA4kAOAETQFubMQExGDo1CRkaGSkZPRmmArQCuhq0KLgyxgPGBMoZyhoNSRtZG2kbAwQxMC8vBR0rHhoxGhEEMC8uLSsoHBsIITEFBgcICQoLDAgXBDWKOMYUAAckySsnHg8huAHAQDcxEUALEjQPER8RAhEoDHUXQBcOP5AXoBcCUBeAF7AXAyAXMBdAFwMXSTo4Sb83AT83TzdfNwM3uAMjQA0E5TFAHBE/MUAeEj8xuP/AQBclKTSQMaAx7zEDUDGAMQIgMTAxQDEDMbgCHLM5Mt4YKxD2XV1dKysr7fZdXeQQ9F1dXSv95F0rEOQAP/3sPzz07QEREhc5ERIXORESOQASORESOYcOfRDEBMQ8MTABXV0rAXIBFhYXEzY3Njc2NzY1NC4CNTQ2MzIWFRQGAAcGBiMiJjU0NjMyFxYWFxYzMjc2NzY3AyYmIyIHJwFLIhoNLDxyN1ExCwYOOycwJCw+bP7M25eSNB8vQSYUDQgTCAUHBg83SWAuOA44QhU2CQOJOmWU/hRInEyDUCAQEQsOEzMhKTJJQE/L/lz4q1kvHydACQUvCAUKIkpiPgJ6nUQGJQABAIr/4QWhBWsAJwCPQCQkEEMLQxBcBmcLdAp2C3cehhCWEKcAtgC0DA2mEsYSAgYPAQK4AU1ACQgkkggzJyADFbgCE7cRZBgJABUBFbgDHrICiAG4AUKyJ4gAuP/AtBQ5APQOuAN/QBIcQEdLNBxAFDmfHAEcZShlfRgrThD0XSsrTen9K+307eRdAD/95D887ewQ5DEwAF1xAV0BAyMnLgMjIgcGBwYVFBYzMjY3MwYEIyIkJjU0EiQzMhcWMzI2NwWhZSQEBSRIbkOzhqthUOa4i9ldL27+9Lum/wCG7gGf02N7NhgYJCoFa/5JbjxeRSdifeS8wcXrfIGvpYv8kd4BpPAvFBQvAAIAev/oA/MFaAASACQAjEBONRY7IEgGSgdJHk8fTCBUF1ogZBZkF24ebh9rIHYPcxZ0F34feyCCFoUXjSCVFpEXniCjFaQWoRerHq8guQK0FbIWtBe9Hr8gJBP5AAUcuAFnQBoKDRmrgA0BDRklIquAA88D3wPvA/8DBQMaJroBHQEWABgrThD2XU3tThD0XU3tAD/tP+0xMAFdATIWFRQCBwYHBiMiJjU0NxI3NhciBgIHAhUUFjMyNzYTEhE0JgLEgK+Cdl5nPE+Cr1hnoGmDOnd/OktaQD0rc1KFWgVo1ufG/mSXdzUe1ujl5wEOjFw0W/7g4/7X0WhnKGwBBQGrAQtvaQACADv/6APtBWgAFwAlAMG5ACH/3kBNFzkbIhc5BCJDNToEvgvKGQMHHhgYFh4DOwVLBWYffBh2H4obgiKdGJsblCKsBawLqhGrGKscpiK7BbUfElUUAQEABhgaGB0GIwUEAAm4AZu3IyMAHfkPBQG4AWdAEgANGqtvEuASAhIaJw8BHwECILgBIbPgDAEMuAICtW8BAQEZJroBmQEWABgrThD0XU30Xe1dThD2XU39AD/tP+0SOS/9ETk5ETkSOQERMzMAEMkxMAFxXV1dKysrFzU2NzY2NwYGIyImNTQAMzIWFRQCAAcGARI1NCYjIgIVFBYzMjY7Z0yH11Q9RCqXoAE3r5+qvP6+sWkB/Y1rR3bDb1QmQBggFipK2pAeEs6J7wFW76DL/nT+4kUpAlkBHuFteP6243h7FwABANr/4QaDBUwAMgEyuQAf/96zDxM+Bbj/3kBtDxM+lSO0DLUNuxYEUwVSH3MNhSMECC4ILzkSOycECRwrJwIBBgIdARsgHB0bAC0yHQAaFBkdGgYJCR4qLRQqKi0gIiIjEhQUEhIUGxoaAQEAAg5kJQkPEBEkIwUSKhIzKC0qFBAiiBJAKBg/Erj/wLMTGT4SuP/AQA0ROTASQBJQEgMQEgESvANOAAkDAQAq/8CyGTUquP/Asx4oNCq4/8CzKy00Krj/wEASMTo0ICoBKngzCSoXEhcqEjMKuAM/sW8YKysQPDwrKysQ9l0rKysrAe30XV0rKyvtKzwQPCsQwMABERc5AD/tPzwQPBA8hw4uKw59EMSHDi4YKw59EMQYABDtARDAABDtARDAABDtARDAABDtARDAMTABXV1dXSsrASEHDgIHAwYHBhUUFjMyPgI3EzY1NCYnNyEHIgYGBwMOAiMiJjU0NzY3EzY1NCYnAQwCPQtYSzUdiyUHDLSXY5xvXCN4LT1dCwGvC0xDMh+TR37vscz6Cwgfhhw5cwVMJQIdSmT+IIAoQDd5p0uH53YBnpsvIS8FJSUdS2z+CfXpneeVO0MsbAHNZC8lKQYAAQCPAAAFMgVMACEBK0AjA0ASCz8NIhA5tQ0BExoUHRMSCxEdEgUDiAIgiCECEAEGAQG7AwgACgAh/8BACxE5IRAAMABwAAIAuAMIQBAbEAoLCx4aGxQaGhsJHAobuAGcQBQAAiG9AQACChMSCBoiKBsQC9ISGrj/wLMzNDQauP/AsysuNBq4/8CzIyk0Grj/wLMeIDQauP/AQAsYGjR/Gp8arxoDGrgCHrciCRoXGiIKZ7kDSgAYKysQPCsrEPZdKysrKytDXFi1GkAUDD8auP/Ashc5Grj/wLMjEj8auP/AtxITPhpAMhk/KysrKytZAe0rPCsQwAA/PCs/PPw8EP08PDyHDi4rBX0QxCt6EPBdARgvK8QrehDgARgvOCvEARDtEP05ABDtARDAABDtARDAMTABXSsrASEDIzY1NCcmIyMBBhUUFjMzByE3MzI3NjY3ASMiBgYHIwEsBAZvJhMtIo1r/vQzQFEuDP2yCxpOKh0vKgEZUXWPWBwlBUz+mE8+SSUc/FqwKSYxJSUZEVmQA8M8cmkAAQC4AAAFVgVMADABcLkALv/eQMUTOQ0BDwIMAwwHDAgPDA8NDw4ND4wBjAOMB4wIjA2MDw+fAZ8CnwOfBp8HnwidCp8LnwyfDZ8Onw+TEw0yQBk6NAgiqiCmLbsCsxS1LgabA6sDoAkDiQGKA5YuA0gBaQFtAgMIDwkdCBohGx0aKDApHSgHAQYdBxkRGB0ZJyMmHSchERAABCIaKBARER4hIhQhISIPAQAAIxAPFBAQDwAwMAAAHiIjFCIiIwABMCMPAQQyMTAjAQMHIiIZKCcIBwIaGQgAMrgCkbYQCRHSIgkhuP/Asxk6NCG4AoZACSExKCIQISExCroBcwEmABgrKxA8AS8rPCsQwAH2KyvEAf0rxAHmGS8YAD88Pzw8PBkSOS8SFzkBERIXOQiHLhgrDn0QxAiHLhgrhw59xIcOLhgrfRDEKxESFzkYABDtARDAABDtARDAABDtARDAABDtARDAABDtARDAABDtARDAMTABXV1dXSsBcnErAQE2NTQmJzchBwYHBgcGBwEDBhUUFhcWFwchNzY3Njc2NxMDJiYnNyEHBgcGBhUUFwLMAQJkK2UKAaoIPhckIy9Z/rRkJRcdJk4K/cUMVRwtFiIkd5EnQVEKAfUMXg0WHB0C0QFpjScWHQYlJQgJDyAqe/42/rF+MB8gCgwBJSUCDBIeLncBjAHUfDwHJSUHBQcqHCljAAMATv/oA+kFaAAXACQAMADFuQAl/95AaRA5BxFrDIUXhRkEGQU6DTknSQ1KJ1QBZAFwBXUkezCDAYUYgySFKoosnwubDZocmyaVKp4wqhCrHKMkqSWvMLABvAy8DboQvxzrLCAlGAwABAMPJRgMAAQrHvkSBSv5Bg0hqwAPEA8CD7oCAAAoAaJACw8JHwkCCRkxLqsDugHyABsBokANPxVgFYAV4BUEFRoyyLkBFgAYK04Q9l1N/fbtThD0XU399l3tAD/tP+0RFzkBERIXOTEwAV0AXSsBFhYVFAYjIiY1NDY3JiY1NDYzMhYVFAYHNjY1NCYjIgYVFBcWBwYGFRQWMzI2NTQmArNgWfi2o82n6Fk/x5eQtpPKbHdzXVluHSodlZmHbnKcWwL3aLZbo/PGhHHaZW2ORoXApm9utBAlqG1mdXBZQzlU5D7rh22FoG9UuQACAHr/4QW+BWsAEAAiAK61ICIeEj8XuP/eQEgeEj80GTocOiJEGUgcSyJUAlcOUxRVFVodXh5lFWocah92E3ocfB+FFI4dlwaUE5wcmh20Fb8dvR4bBw4IEwIRMwADGjMICRe4A39AEQxAFDkMQFw1DEBHZDQMZSMguAN/QBgEQCFBPwRAFSM/BEBcNQRAR2Q0BEAZNQS4ARe2cCQBJGVcGCsQXfYrKysrK+kQ9isrK+kAP+0/7TEwAXFdKysBMhYWFRQCBCMiJiY1NBI2JBciBgYHBhUUFjMyNjc2EjU0JgPxh9B2/f5o2p3TZbf+ASCAZL+8S1ySl1uvX3eikgVrdeV72v4h/Ivka74Bc/mGQGPhtuDHjttabYkBqbiI0QABABj/6APrBY4AMwFzQFcMIhQ5NUANDzQ1QBU1NUAQNQoLCgwYCxkMUgCFEaUQBzcXPzVGF1YXBBslGSYaLQMDAgQEARMUFBgmJyYkJxEBAQQnKCcRKAAeHw0RDjANDAQLMAwz/iu4ARxAFSgyMDNNABQYGB8kJhQkJCYBBAEABLgBa0AyEScUEREnAScmFAQMJwEoAAAAKAAzKB8pKxQpKSsNDAYpKAoelRonIgsrKRANGjUeih+4Abm2GOQkuBTkJr4DLwAAAo0AKAIDACsBu7Iy0ym4/8CzGRs0Kbj/wLIcNSm4/8CzKCk0Kbj/wLMqNDQpuP/AQAo6NSkZNCkXMqcYKytOEPQrKysrK03k5P3m9u307f3tThDmKxA8AD9N/eQ/PD88hwUuKwh9EMQAGD8BEjk5ABEXOYcOLisIfRDEhw4uGCsOfRDEGAAQ9e0r/AH1ABDtARDAABDtARDAEMkHCBA8CDyHCBA8CH3EDsSHDhDExDEwAXFdXSsrKysBATc2NzY1NCYmIyM3IQcGBgcGBwcWFxYXFjMyNzY3FwYGIyInJgMHAyMBNzY1NCYjIgc1Ak7+5HK7OBIMIywjCwG1CkttM2UgVhYgNhMTFBEXNDsjbXQwKhcoXYlnnAFMHAUlIxcyBY78KWGeTBkNCRAKJiYEJyZLHUxIgdYoKBEmUxmJVyE7AZZ3/p0EdWEZExggCiMAAQAs/+gDigOJACYA+0BBtwEBKEAQNShADDUoQA41WQJYA7YE2SEEKRw7HEkCAzgiAQgJCgEMDQ4HGAcHASAkigDGFQEHHyALHxIvEj8SAxK4AZ+3DycYQBcOPxi4/8CyKjUYuP/AQBsmNe8Y/xgCIBhAGIAYkBjPGAUYGigfiiAASSa4/8BADBQ1PyZPJl8mvyYEJrwDIwAHAgMAIP/AsywuNCC4/8CyKjUguP/AQBklKTQgQBcOP1AggCCQIKAgBCAgMCBAIAMguAIcsycy3hgrEPZdXSsrKyvt9l0r5BDtThD2XV0rKytN/eRdAD88Pzz07RkREjkvARIXOTEwAXFdXSsrKwBdEyUWFxYXFhc2NzY3Njc2NTQmNTQ2MzIWFRQHBgYHBgcjAicmIyIHLAEhHxMbEQgOfRiEFCENC10zIypAEBqOnhTKJRhMGToZLgNLPkpNcZtO/Iohsx81KB4bGkQqIDJFMzMvTNu4F9ECeZ0zCQABADz/6APEA4kAPAGXQIQIOhk6AhI1MUcxVDxqFnkVehasFcUA+hUJVS5UO2oJA0sVVABaFQM2ADwVAiEoKTkCqwkBOSY/KE8oXyj1FfYW9TkHFDs8PBMJCiYnODk6FhcFMxU8EyYnGz0uMzMfGyAUGxsgKwc8AAYAAwMfEzwUExM8GA4LGxM9KCAbPBMQCooJYAO4AgNAGzytE0BDNRNAGBk0E0AVNR8TTxNfE48TnxMFE7gCNEAMMyUbQC4BLiUglRIbuP/Asjo1G7j/wLMYGTQbuP/AsxQVNBu4/8CzLDQ0G7j/wEAZIyg0MBtAG6AbAxsZPQkbFxMXGxM9CnfDGCsrEDw8KysrThD0XSsrKysrQ1xYtRtAIxI/G7j/wLMSCz8buP/AsRY5KysrWQFN9O1dEO30XSsrK+Tt9O0rEDwQPCsQwMAAPzyHDi4rBX0QxAAYPzw/hw4uKw59EMQBERI5ORESORIXORDJEMmHDhA8xDEwAF0BcV1dXV1dQ1xYQBgVGAs5FRgMOQAiDDk7Igw5MCIMOR4iDDkrKysrKytZAV0BAwYVFBYzMjY3FwYHBiMiJjU0NzY3AgYjIiY1NDcTNjU0JiMiBgcnNjc2MzIWFRQHAwYVFBYzMj4CNzcDxK4nDQsRKVMeT1M3MycsDRBLquViLkAsVyARChUqSh9LVEA2JS8oXicZFSFqsXNBFgNx/ayFIxIRH2wXfTsmLCMiOEr4/unUQDFLmwE1bxsMER5gFnQ3Ky8lNov+vYQjExdC48fZTAACADz/6AOzA4kADQAZAK1AQQgCCQMGCgOkE64YoBuyErIWvhgGWxhZGYUTjBiVE50YpRIHNhM6GUcTSRlXCFYSVBMHCgwMESQLBwMFBRckBAsUuAOBQBIHgEtTNAeAQzWPB58HAgcZGg64A4FAJwBAFw4/AEBLUzQAQEM1AEAyNQBAHjUAACAAMABAAKAABQDDGyvDGCtOEPZdKysrKytN6U4Q9F0rK03pAD/tPBA8P+08EDwxMAFdXV0AXQEUAgQjIiY1NBIkMzIWBzQmIyICFRQWMzISA7Of/uSGia2pARuEhKumW0iT92BJjfcCUJb+2qyvi5MBKKyuRl1j/lvQX2cBowABACP/6AVLA4kAKwFZQAsYFRkbAggVCRsCKrj/3kAnDA0+VxpTKmUaYCrgGgUqFS8bPBZIG18bXCpuG2wfaSulJ7QrCxItuP/AszA6NC24/8CyLjUtuP/Asio1Lbj/wLIfNS24/8CzHjo0Lbj/wEAwFxw0GirJAQEYACKKJcYrJiYODgAHHBsbGRkYCwIDBAUGBREZGysaHB8LLws/CwMLuAGftQWCDxEBEbgDN0AMAeUZihiCGiuKAOUauAKOQAobihwlTyRfJAIkuAMvsirlHLj/wLMoFD8cuP/Asis1HLj/wEAPLjY0HEAhNTAcQBxQHAMcugMjACwDOLHeGCsQ9l0rKysr7fZdPBDt/f3tEP397f1d/eRdERI5ORESFzkAPzwQPBA8PzwQPBA89O0ZERI5L+QYLzEwASsrKysrK0NcWLQbIgw5F7j/3rIRORi4/961ETkaIg85KysrK1ldAF0rAV1dARM2NzY1NCcuAjU0NjMyFhUUBwYHBgIHIwMBIwInJicmIyIHNSUWExYXAQNaRa5oPQoENxYuJCk5Dx5XauE3JUH+YywHJA8jGTMdLQEfPBIGBAGbA4n9EsyzaS8WEQkjJRUfKz0zNC1WiKP+6TgCtP1MAav3ZyAXBiRDp/6mgyICpgAC/88AAAT4BUwAHAAoATRAGQYCFgJHIYgllCGbJaUHpiC2B7UhCgYKASq4/8BAXxk6NAgYKSE7IUYFVyh7JaMCqyG2DbohviULFiIQOREiDxA+HSgKCh0oKAsSFhMdEgAXHB0AEQsQHREoCwseFhcUFhYXCggdHyYuAAgzHx8RAAISEQgKHSMWKSgXFhAjugN/AAQBF7MqKNQLugMBABcCE7QSgBYBFrgBc7YpCRYXFikKuAFzsYEYKysQPCsrThD0XUNcWLkAFv+AsyYXPxa4/8CzKBg/Frj/gLctFz8WQBg5Frj/wLUSORZAETkrKysrKytZAU3k/eROEPZN6SsQPCsQwAESOTkAPzw/Ejkv7RDtETkSOYcOLisFfRDEGAAQ7QEQwAAQ7QEQwAAQ7QEQwAcOEDw8Bw48MTABKytdKwBxXQEhMhYVFAYEIyInAwYVFBYXByE3MjY3EzY1NCYnExYzMjY2NTQmIyIHAUACFtLQhP78l16RbCY2Zgr95QtqUzDgKDlhxnFFbbNlfH5EYQVMtYJnwnki/o6EKiAqBiUlSaUDBIsvIy4F/a0dWrRhZXYRAAEASf/oA9UFTAAiAMFAbwYiEjkEIhI5IQcrIDAHPCBQBVIGUAdhBWIGYgdxBHEGcweCBIIGhAeRBJEGoASjBrUEuSAWfgQBCBwYHEQHogb1BgUhGBYDHhIBAiQIGBshIhUDBAT6IgAUIiIAIgQDAAQeEgQDIiIOAgPmAQAEG7gBbLcODRIZIx6rCLwCCQAkAMgBFgAYKxD27U4Q5AA/Te0/PP08EjkvEjkBERIXOYcOLisFfRDEABESORI5ARESOTkREhc5MTABXXEAXSsrASEHIQcWFxYVFAYGBwYjIicmNTQ2MzIXFhcWMzI2NTQmJicCEAHFLv5pS6Jai2eVVXR2ZTsoNCY1QSgaFR1xvmWcggVMpacaS3XSi+GYLDwsHi4kMzUhCwnhtH2wSA4AAgBA/+gD5QVMAAoADQFOQCsOCwF7CwEPAggMMwA2BDcLcwqHBYcGywPbAwoJCwkMZQp1CgRUCgFmCgEFuP/esxcZNAa4/95APBcZNAEMAgAFBAgDAAUHCAMLBg0MAgsGAAUF5gYLFAYGCwoJCfoMCxQMCQgMCwgJCgsMDQcEAwIBCw8OCbsBmAACAAwCo7UDCAgFAAu4Ap9ACgooCgAEBigFDQO7AqcAAgACAgKzAAkKCrgB+rYLCQAACQUFuAMotQkGBgsJCboDDwAIAgG1DA0NDAsLuwMpAAkADAILQAsGDigLEAYXBg4KyLkB6wAYKysQPCsrPCsQwAH0K3rgARgvEjkvEP3kKxA8AS8revEBGC8rPAEvK3oQ4AEYLyt6EPABGC/kAD8rPAA/PCsQ7QAREjkvPP085QEREhc5hwguKwV9EMSHLhgrfRDEDw8PDzEwASsrcnFxXQBdcQEBMwcjAyMTITcBAwEhA+X+/aIkpGmTav4WKgMvkv25AZEFTPyEfP6UAWyMA2z+/v2GAAIAgf/oBDQFaAAUACIAwrUIEhgSAhi4/95ATBc5HiIXOSIVNgMzFUIDQhVqHHocgguAGY8fkguUGZoepAOvDaEWqx60A7MHtRa8HMQVFggbFxUYGwNEBFkRAgEABBUXFRoEIAMCAAa4AZuzICAMAbgBZ7YABRr5DA0duAEhQAsvCT8JAg8JHwkCCbgCAkAJzwEBARokF6sPvAIAACMBHQE8ABgrEPbtThD2XU30XV3tAD/tP+0SOS/9ETk5ETkSOQERMzMAEMkxMAFxXV0rKwBdARUGAAc2MzIWFRQAIyImNTQSADc2AQIVFBYzMhI1NCYjIgYENKv+vnlsRH+z/syyoqe+AUWvaP4Dj2xGc8d0UiM/BWgnKP7/yS64nO/+ru+dzQGPAR5EKP2h/s/Pa3sBT912gBcAA//RAAAEuQVMACEALAA3AZtAdgcEFgQCEiwwPyU/ME8wWzRqM3szcDmMMJUKnSifMKQKrimrMLMEtQq8Jb8wE1YsxAQCIjctLSwTGhQdEwEbAB0BLC0tHhobFBoaGwk1JC8uEyouATcuIiQzNS4vIo8iAiIiEwECEwgiNywtGjgoGxoQCQknLTK4A3+zPwwBDLoBQgAnA3+1BkAREjQGuP/AsxAYNAa4ARe1OSy9LeMbuANFQA4SGkAZGzSwGsAa0BoDGrj/wLURNTAaARq4AXO2OAkaFxo4CroBcwEVABgrKxA8KytOEPRdK10rQ1xYuQAa/8CzHBE/Grj/wLMmFz8auP+AsygYPxq4/8C2LRc/GkAROSsrKysrWQFN5P3kThD2KytN6fRx6RkREjkvKxA8KxDAARESOTkAGD8/EjkvXf3tEO0Q7RDtERI5hwUuK30QxBgAEO0BEMAAEO0BEMAHEDw8MTABXUuwKFNLsHVRWliyNBkluP/nODhZAEuwK1NLsD5RWli1JCgjKCIoODg4WQFdQ1xYQAwwIhU5MiIhOSciITkrKytZAV0BNyEyFhYVFAYHFhYVFAYGBwYjITc2NzY3NjcTNjU0JiMiExYzMjY1NCYjIgcBFjMyNjU0JiMiBwEvDgHker9fqb97dGijc1Ku/g8NThwoERgo8x83TRG8QR3Qy3yIJDj+omw9nPGVpiAuBSclTIhMdb0tLphbZbhmGBElAg0RHCaIAzVoKiUr/c4CtYhncwz7Ww68oXuKAwAB/p/+RgPJBY4AQwEnuQAD/96zWi0/A7j/wEATVSs/BkAXQRdCOQAEEkVAKCk0I7j/wEAaGSM0AEAZIzRFQDI1RUAWNUVAGDVFQA4QNEW4/8BALQ01ISInJx8DAkNCBCMkBB8CQydCBAQfHycUHx8nEJUbM5U9JC0AASNAVSs/I7gBa0ATJCQABhskCQ8fRCgnHxA2OjkxMLgC/rIXMQ24AgNAEDATQBMCE61EHxcfRAoy2xgrKxA8KxD0Xf3t/e3tKxA8KxDAAD/tPzwQ/Ss8P/3kEOSHDi4rDn0QxAEROTkREjk5h8TEDsSHBRDEDjwxMAErKysrKysrK0NcWLkABP/es1UrPwK4/95AG1UrPwQiPB4/AkA8FD8iIi1aPyEiLVo/RUATOSsrKysrKytZAV0rKwEHIwMCBwYHBiMiJyY1NDYzMhYVFAcGFRQXFjMyNjY3NjcTIzcyNjY3Njc2NjMyFhUUBiMiJjU0NjU0JyYjIgcGBwYHAmMSkm5JSml5XFw8Kh8zJRslFRAHCRMrX0ohDj2urg5TQjcsOzZKo0hMXC4kHycaCQ0ZPzJDNRtIA3FC/kv+357fVUEkGSggLyIWFhMOBwkFBzZrZSrrAqVCF0FZeEJZWU0tIzAkGRAvCA4HCig1cTvqAAH/x//hBhgFTAApAVNAdQcTFxIoFDYSOiZGAEUSRxVoAnkCpBgLVBN2GLQYA4MBAQsSDB0LHSQeHR0pJSgdKQoCCR0KHBYbHRwAAQEeFBUUFAECFBUCAQEjExIUEwEAExIlJCQjFhUUFhYVKQsLCgoAAh0cCBQTCRYTKigSExUWEAEvE7gDPkAUFEA3HD8UQDIZP0AUcBSAFKAUBBS4Ay2zCQCZJLgBc0ALFkA3HD8WQDIZPxa4/8CyEzkWuP/AsyktNBa4/8CzHSQ0Frj/wEAZGjU/Fk8WfxaPFq8WBRZ+KgkTFxYXExYqCrgBc7HEGCsrEDw8KysrEPRdKysrKysrAe3kK/ZdKysB/uQrEDwQPCsQwMAAPzw/PD88EDwQPIcOLisOfRDEhwguGCsOfRDEhwguGCsFfRDEGAAQ7QEQwAAQ7QEQwAAQ7QEQwAAQ7QEQwAAQ7QEQwDEwAF0BXV0BARM2NTQmIyInNyEHJgcGBwYHASMBAwYVFBYXByE3Njc2NzY3ASYmJzcCSwGj4xw0RwwNCwG0DEQhLxcgIf7BJP498RsxXAr+Vg5QGykUHSQBDSdZXgsFTPvZAxpiNiUqASUlAQ8VIS91+6IEePyzYDMmJwclJQIMEh0sfgOvPC0DJQAB/7r/4QRgBUwAJwDtuQAA/8CzDBA/J7j/wLMMED8EuP/AQFQQET4FAAUnGAQYJJ0dnSW7JQd6H4MImAwDKCQ4JGkfAyEiIiAYAQEBBQIdARAAAQAiJx0ABQYGHiAiFCAgIhcbEbALAQACGzMLCSAoKCIgEAV+BiK4AUZACgbSICBgIHAgAyC4A0ZACw4JFJIYrA5ADzkOuP/AQA8cOjRPDgEOGSggFyAoCjy5A0oAGCsrEDwrThD0XSsrTf3kKxD0XQHt5BDkKxA8KxDAAD/tPzwQ7RE5hw4uKw59EMQYABDtARDAXQAQ7QEQwF0HDhA8MTABXV1dKysrASEHBgYHAwYHBgYjIiY1NDYzMhYVFAcGFRQWMzI+Ajc3EzY1NCYnAkoCFgtnVC6sMTJD4410fEs0LTkaISYgLmNXQSIxlSE8YQVMJQFJn/2rqVl4jmtMPFA2JyAeJg4VIixafm2tAgJxHCYwBgABADz/6ANsA4kAKAENQEYAQBcOPyhAFw4/LgAsASsnLig+AD4BOgU+Jz4ojAKLIYknqwKkJLUfsyQQHwAaAhoEGQUaJx8oBoUmAXoniiemIQMWBQEquP/AshE1Krj/wLIWNSq4/8BADiM1nyivKAIoAAAoDRkRuAEEtB0kCgcluP/esxsQPyW4/9xAIh45JScDCwDJFHAZJw2AUzUvDT8NTw1fDQQPDR8NAg0aKiK4A4FAHgaAUzU/Bk8GXwZvBgSABqAGsAbABtAGBQYZKStWGCtOEPRdcStN6U4Q/l1xK03t7eQAP+0rKz/t7QEREjk5EMldMTABKysrcV0AS7AhU0uwLlFaWLsAH//oAB7/6Dg4WQBxAXFdKyslBgYjIiY1NBIkMzIWFRQHBiMiJjU0PgI1NCcmIyIGBwYVFBYzMjY3Axto1HaOn6sBIYttbCYcKR8pDy8KEx01YsBEUnRkTZde2n11oIeZASi5W0I+LCIoHhMgLRQLFQ4Uin+ammZ3TWUAAQD5/+EHjQVMADEB4EARBiwBDQQLDw0RDhMPFAYuBg24/8CzEgs/Hrj/wLMLDzQNuP/AQBELDzQBDQEwIgwPNA5ADA80Cbj/wLILNQi4/8BA7Qs1E0ALDzQUQAsPNAgeCR8JIA8lCi0FLgUxLyUIFS4VMU8hTyJPJ08rTy1eH14teQ57IooTihSeE54UlCuyKxE/LU8fTyADPyc/Kz8sAz8iPyU/JgM/Hz8gPyEDLi0uMAIXHC8OLh8DDxQfFAIUDhMdFBAIAQgMCR0IEBUBFRsWHRUnLSgdJwcBBh0HDyYvJgImHyUdJh8eHiMuLRQuLi0bHh4eLzAULx4fLzAODQ0jMTAUMTEwDA0NHgABFAANDgABAQwNMA4bHB0eHy0LACcmJhUVFBQICAcCMS8uAAkwDh4bHy0GLwEMDQMAM7gDVrIuiC+4AoiyMYgAuP/AQAsZKTQPAB8AAgAZMroBeANKABgrThD0XStN7fTt5BEXMxEXMwA/PDw8PzwQPBA8EDwQPBIXOYcILit9EAXEhwQuGCt9EAXEhwguGCt9EAXEhwQuGCt9EAXEGAAQ7QEQwF0AEO0BEMAAEO0BEMAAEO0BEMBdABDtARDAXQAQ7QEQwF0xMAFdXV1dXV1dXSsrKysrKwBxKysrAXEAXQUTNjU0Jic3IQcmBgcDATY1NCYnNyEHBgcGBgcGAgMBNjY1NCYnNyEHBgYHBgcBIxMBARV1B0JWCwH8C2ZLDksCAwFCbQgCJQtfIRghCgMrKwGtRiQwOggBkgo1UjggZP1XJW79Vx8EakEjOjwCJSUBS5L9JAMbFA44PAclJQEPCzE7Ef5S/o4CjGtWHhwrBiUlBCw+JJr75gQa++YAAQAAAAAAAMqp2GRfDzz1CBkIAAAAAADf+eaFAAAAAN/55oX8Bf2MCPYIMAACAAYAAQABAAAAAAABAAAHIf5FAAAGqv6b/nQHjQAAAAAAAAAAAAAAAAAAAAAALQJYAAAE4//SAjkATwONAEAEAAAnAgAAAATj/5wEAAAnBAAAMAXHACMDHf/tBAAAfQQAACAEAABEBqr/vQQA/x4EAAAOAjkAVAMdACoCOQBYBOMBAAON/1wFVgCKBAAAegQAADsFxwDaBHMAjwRzALgEAABOBccAegONABQDjQAsBAAAPAQAADwFVgAjBOP/zwQAAEkEAABABAAAgQTj/9ECOf6bBVb/xwON/7oDjQA4BqoA+QAAAAAAAAA4AAACiQAABBMAAAWGAAAHugAAB7oAAAnOAAAMRQAADsAAABH6AAATPgAAFGoAABVtAAAWwQAAGTQAABshAAAdIQAAHowAACAJAAAhrAAAI2oAACUpAAAmMwAAJzkAACh0AAAqQwAAK9sAAC3vAAAvQwAAMGMAADJ6AAAz8AAANjkAADc+AAA5JwAAOtwAADwKAAA9mgAAPtEAAEEWAABDAQAAROUAAEZNAABH0QAASlwAAQAAAC0QAAQAAP8A/wACABAALwD/AAAEggrAAP8AHgAAAA4ArgABAAAAAAABAB0AAAABAAAAAAACAAYAHQABAAAAAAADAB0AIwABAAAAAAAEAB0AQAABAAAAAAAFAAwAXQABAAAAAAAGABgAaQABAAAAAAAKACUAgQADAAEECQABADoApgADAAEECQACAAwA4AA</t>
  </si>
  <si>
    <t>AAEAAAANAIAAAwBQY21hcFG6YhUAAADcAAAGDmN2dCDzTdqBAAAG7AAAB8RmcGdtN3WnLwAADrAAAAV0Z2x5ZjhuKmAAABQkAABVjmhlYWQyzRegAABptAAAADZoaGVhDoYFMgAAaewAAAAkaG10eMQ7CYsAAGoQAAAAwGxvY2EACFciAABq0AAAAMRtYXhwDQsgZgAAa5QAAAAgbmFtZVszwvcAAGu0AAACPU9TLzISEC3uAABt9AAAAFZwb3N0AAMAAAAAbkwAAAAgcHJlcNJmK/QAAG5sAAAPGAAAAAQAAAADAAAAJAABAAAAAAIUAAMAAQAABAQAAwAIAAAF9AAEAfAAAABgAEAABQAgACAAJwAtAC4AMAAxADIAMwA0ADUANwA4ADkAQQBCAEMARABLAEwATQBOAFAAUwBVAFcAYQBiAGMAZABlAGYAZwBoAGkAawBsAG0AbgBvAHAAcgBzAHQAdQB2AHcAef//AAAAIAAnAC0ALgAwADEAMgAzADQANQA3ADgAOQBBAEIAQwBEAEsATABNAE4AUABTAFUAVwBhAGIAYwBkAGUAZgBnAGgAaQBrAGwAbQBuAG8AcAByAHMAdAB1AHYAdwB5//8AAAAAAAAAAAAAAAAAAAAAAAAAAAAAAAAAAAAAAAAAAAAAAAAAAAAAAAAAAAAAAAAAAAAAAAAAAAAAAAAAAAAAAAAAAAAAAAAAAAAAAAAAAAAAAAAAAAAAAAAAAAAAAAAAYABgAGAAYABgAGAAYABgAGAAYABgAGAAYABgAGAAYABgAGAAYABgAGAAYABgAGAAYABgAGAAYABgAGAAYABgAGAAYABgAGAAYABgAGAAYABgAGAAYABgAGAAYABgAGAABgAoACQAFAAlABgAIgAjABkAHAAuABoAGwArACAAHQAvACkAFQAhAC0AAQAmACwAKgAEABAACQAPAAMAHgALAA4ADAAKAAIAFgANABcACAASAAUAHwAnAAcAEwARAAAABAHwAAAAYABAAAUAIAAgACcALQAuADAAMQAyADMANAA1ADcAOAA5AEEAQgBDAEQASwBMAE0ATgBQAFMAVQBXAGEAYgBjAGQAZQBmAGcAaABpAGsAbABtAG4AbwBwAHIAcwB0AHUAdgB3AHn//wAAACAAJwAtAC4AMAAxADIAMwA0ADUANwA4ADkAQQBCAEMARABLAEwATQBOAFAAUwBVAFcAYQBiAGMAZABlAGYAZwBoAGkAawBsAG0AbgBvAHAAcgBzAHQAdQB2AHcAef//AAAAAAAAAAAAAAAAAAAAAAAAAAAAAAAAAAAAAAAAAAAAAAAAAAAAAAAAAAAAAAAAAAAAAAAAAAAAAAAAAAAAAAAAAAAAAAAAAAAAAAAAAAAAAAAAAAAAAAAAAAAAAAAAAGAAYABgAGAAYABgAGAAYABgAGAAYABgAGAAYABgAGAAYABgAGAAYABgAGAAYABgAGAAYABgAGAAYABgAGAAYABgAGAAYABgAGAAYABgAGAAYABgAGAAYABgAGAAYABgAAYAKAAkABQAJQAYACIAIwAZABwALgAaABsAKwAgAB0ALwApABUAIQAtAAEAJgAsACoABAAQAAkADwADAB4ACwAOAAwACgACABYADQAXAAgAEgAFAB8AJwAHABMAEQAAAAQB8AAAAGAAQAAFACAAIAAnAC0ALgAwADEAMgAzADQANQA3ADgAOQBBAEIAQwBEAEsATABNAE4AUABTAFUAVwBhAGIAYwBkAGUAZgBnAGgAaQBrAGwAbQBuAG8AcAByAHMAdAB1AHYAdwB5//8AAAAgACcALQAuADAAMQAyADMANAA1ADcAOAA5AEEAQgBDAEQASwBMAE0ATgBQAFMAVQBXAGEAYgBjAGQAZQBmAGcAaABpAGsAbABtAG4AbwBwAHIAcwB0AHUAdgB3AHn//wAAAAAAAAAAAAAAAAAAAAAAAAAAAAAAAAAAAAAAAAAAAAAAAAAAAAAAAAAAAAAAAAAAAAAAAAAAAAAAAAAAAAAAAAAAAAAAAAAAAAAAAAAAAAAAAAAAAAAAAAAAAAAAAABgAGAAYABgAGAAYABgAGAAYABgAGAAYABgAGAAYABgAGAAYABgAGAAYABgAGAAYABgAGAAYABgAGAAYABgAGAAYABgAGAAYABgAGAAYABgAGAAYABgAGAAYABgAGAAYAAGACgAJAAUACUAGAAiACMAGQAcAC4AGgAbACsAIAAdAC8AKQAVACEALQABACYALAAqAAQAEAAJAA8AAwAeAAsADgAMAAoAAgAWAA0AFwAIABIABQAfACcABwATABEAAAAEABoAAAACAAIAAAAA//8AAP//AAAAAgAAAAAFjgAABUwAHwVMABwDlAAbAAD/4QAA/+QAAP/o/kr//AVrACP+av/gAxMAAACtAAAArQAAAAAAJQCWAJ8AJADwATEAwgDAAEoApgBBAFAAlABHAM8ArwAOAHkBywAEACMARACoACUBHwACAEYAFwEFAJkA2QBcAHIA5QDgACgASwDeARIAJABFAHAAFgA5/+kAFgBLAIj/uQDZAAoAQwCuALoBbAFTAC8AQwBIAiwBKwAlAI//wAAXACj/zf/YACUAnQDlAST/sQBIAJ0A5gARACcAfwCRABIAagDK//wAAAAkAGIApwF8AekAIQBgAIsENASK/2sAOwC1ANUBS/9rAE0AeQXYCbUAbACRAKMBFwHA/9//5wC+BAEAZQB/AIIAiACZALIAwAIuA0MFoAAgACYAPQBOAGEAZQB7ANkBEwExA0D/J/9C/5kATgCnAPICKwLGAwcAEQArAEkAXwCNAKEArwDWAOQA9QELATUBnQGrAasB0QHuBdgAAABLAHUAegCAAJ0ApgCnAKwAuQExATECFwIXAAIAFwApAFUAgACPAKUAsgCzANABSwFZAcABwQOlBTD+P/8U/xX/5///ACoAWACZAJ8AwQDkAPQBMAFZAasBqwMiA3QEHgR0BTL9gQBNAGQAnADQANEA1gDeAOUA9QD4ASoBKgHhAn4Cf/9X/6j/5QAAAAgAHwA4AFEAWgBvAHYAdwCiAMAAwgDEAPEB+wIJAn4CzwTFBXoF8P+SABIAJgBCAEsATwBRAFMAZACLAK4AsgC4ALgA1gD1AREBIAExATgBTgFSAWcBjwGWAbgB2QHZAgYCIQJxAuoDsAPLA9wENgUF/zoAEgAWAB4AHwAjAFcAaABsAH4AiACSAKUAqADFAMkBFQEmAS0BMAHWAdkB9gI7AkQCRAKjAs8C3gOFA48E/AWG/uD+6/77/4oABwBEAEcAWAB1AKoA5ADvARYBIAEpAWoBcwHjAn4CkAK0Aw4DEAMjAzUDQQNUA1kDiAOUA8gDzgRyBKsE2gVJBWEFqwdh/m7+0f9L/4QAAAABAAYAHgAnACwANAA3AGIAZgBqAGsAbABwAHAAcgB8AIEAigCOAJEAkgCgAKsAuAC/AMkA1QDdAOwA9AEAASEBMAFpAWoBbQF8AYUBjgGOAZkBrAHBAcUByQHhAfYB9gH2AiICIgIoAjYCPwJDAkYCZwKFAoUClALQAtYC6AMcA2MDfwOAA4ADngO2A9kEAAQEBP8FMgUyBUgFiwWnBssHKAdIB2IIzPzt/Sr9Wf3e/gD+Gv5b/pb+wf7n/1b/eQABACUALQAuAHwAhwCRAJkAoQClAKUAqgCvALYAxgDMANcA3QDsAPIBAgEFARcBGAEjASoBLAExAT8BRwFJAUkBTQFRAVEBVQFVAVcBWgFaAWEBYgFoAWgBfwGAAYIBgwGEAY0BlQGVAZUBmAGZAaUBqQG2AbYBtwG6AboB1QHfAeYB6gHyAgACAAIDAhcCJQInAi8COQJDAkMCRwJPAlICUgJnAm8CbwJwAnICdgJ+AqcCswK5AtYDEwMlAy0DYQNxA5kDrgPCA9QD+QQCBCwELwQ8BFYEZwSDBM8E0QTYBPsFHwVFBWgFngXCBhsGNAZVBmoGmAavBugG/AcGB1AHYgd8B9QH/wglAK0AxwCqALUAAAAAAAAAAAAAAAAALwbPAXMFFAR4At8AnAAYA3AFhwFVACUABgJUA2wDjgPSBWYB8AMgAdoBigNpA2v/owNGAvgDbwFWAr8BIgMfBToDZgCMAP8BqwLhAvQC5wQVAVQC6QEoBJEBtwJvA0MCBgAAAAAF0wQVBIMF6AAAAtcAOgJ9AcACxQODA4P/vQA6BZ4B3wWeAtEAIATgAhMA3wHAAYcClwAAAM4CaQKLAFgENAX7AGkBWgGpBXgBggE+AogBKgPUBJ4A5QMjAvMB8AGWAHoAzQFKBCQCXgI5AasAzwD9AR4A7QFxAHABlQBAAbsB3QG4AAEBqAOnAUwCDAGNAbACDQE3AQAAzQMhAdQDCgBZAAAAAAEmAhUBUALwAlUDvAbQAzUBAQDQANIAegEDATAAfAAAAAAAAAAAAP4AbgBmAJQCJwArAEUATQDTATIAGACXAEEA9P68/+kAFgXYBYsAkQChAywAUgAwAF0CywA6AJIA5QDlAFgAhgAyALoAmQCIADACmAB8/4ABZAAoAE0AZQACALgBagAvAQsAEQAXAQAAfwAEABYCIgCmAF8AAAD4AAoAygBDAEsB7gB3ASAA9AHAACgEXwAAAIwERQDCAGAAewCLAIsAZABdAMIAnACSBrUF0wBPARcAAAQg/p4AzADcAF4ARgDjADIAGgA8AJEAWgChBCwAQQAgAEkAcQCcAJz+SABAAEAAhgDLAQIAfQA6AD4AagBQBEgAKQCW/2oAlwBpAOAATAAbAMkAaf+XAEP/vQBS/4P/iwBf/6H/XABnAFP/qAAqAHb/sgA2AIcFWQJWBSsENADeAMkBxABIANsBiwCzAEgA2gEWASUBGADqAOoArgBGAD4FuwCKBNcAUwA//4z/1QAVACgAIgCZAGIASgDkAG0A7gDlAEgDwAAz/k4Csf9GA3AAeQXfAFH/p/8fAQoAaP9sAE8AvAClBwUAqwCAAB4FpUBAQD8+PTw7Ojk4NzY1NDMyMTAvLi0sKyopKCcmJSQjIiEgHx4dHBsaGRgXFhQTEhEQDw4NDAsKCQgHBgUEAwIBACxFI0ZgILAmYLAEJiNISC0sRSNGI2EgsCZhsAQmI0hILSxFI0ZgsCBhILBGYLAEJiNISC0sRSNGI2GwIGAgsCZhsCBhsAQmI0hILSxFI0ZgsEBhILBmYLAEJiNISC0sRSNGI2GwQGAgsCZhsEBhsAQmI0hILSwBECA8ADwtLCBFIyCwzUQjILgBWlFYIyCwjUQjWSCw7VFYIyCwTUQjWSCwkFFYIyCwDUQjWSEhLSwgIEUYaEQgsAFgIEWwRnZoikVgRC0sAbELCkMjQ2UKLSwAsQoLQyNDCy0sALAXI3CxARc+AbAXI3CxAhdFOrECAAgNLSxFsBojREWwGSNELSwgRbADJUVhZLBQUVhFRBshIVktLLABQ2MjYrAAI0KwDystLCBFsABDYEQtLAGwBkOwB0NlCi0sIGmwQGGwAIsgsSzAioy4EABiYCsMZCNkYVxYsANhWS0sRbARK7AXI0SwF3rkGC0sRbARK7AXI0QtLLASQ1iHRbARK7AXI0SwF3rkGwOKRRhpILAXI0SKiocgsKBRWLARK7AXI0SwF3rkGyGwF3rkWVkYLSywAiVGYIpGsEBhjEgtLEtTIFxYsAKFWViwAYVZLSwgsAMlRbAZI0RFsBojREVlI0UgsAMlYGogsAkjQiNoimpgYSCwGoqwAFJ5IbIaGkC5/+AAGkUgilRYIyGwPxsjWWFEHLEUAIpSebMZQCAZRSCKVFgjIbA/GyNZYUQtLLEQEUMjQwstLLEOD0MjQwstLLEMDUMjQwstLLEMDUMjQ2ULLSyxDg9DI0NlCy0ssRARQyNDZQstLEtSWEVEGyEhWS0sASCwAyUjSbBAYLAgYyCwAFJYI7ACJTgjsAIlZTgAimM4GyEhISEhWQEtLEuwZFFYRWmwCUNgihA6GyEhEFktLAGwBSUQIyCK9QCwAWAj7ewtLAGwBSUQIyCK9QCwAWEj7ewtLAGwBiUQ9QDt7C0sILABYAEQIDwAPC0sILABYQEQIDwAPC0ssCsrsCoqLSwAsAdDsAZDCy0sPrAqKi0sNS0sdrgCsCNwECC4ArBFILAAUFiwAWFZOi8YLSwhIQxkI2SLuEAAYi0sIbCAUVgMZCNki7ggAGIbsgBALytZsAJgLSwhsMBRWAxkI2SLuBVVYhuyAIAvK1mwAmAtLAxkI2SLuEAAYmAjIS0stAABAAAAFbAIJrAIJrAIJrAIJg8QFhNFaDqwARYtLLQAAQAAABWwCCawCCawCCawCCYPEBYTRWhlOrABFi0sS1MjS1FaWCBFimBEGyEhWS0sS1RYIEWKYEQbISFZLSxLUyNLUVpYOBshIVktLEtUWDgbISFZLSwBS1MjS1FasAIlsAQlsAYlSSNFGGlSWliwAiWwAiWwBSVGI0VpYEhZISEhLSywE0NYAxsCWS0ssBNDWAIbA1ktLEtUsBJDXFpYOBshIVktLLASQ1xYDLAEJbAEJQYMZCNkYWS4BwhRWLAEJbAEJQEgRrAQYEggRrAQYEhZCiEhGyEhWS0ssBJDXFgMsAQlsAQlBgxkI2RhZLgHCFFYsAQlsAQlASBGuP/wYEggRrj/8GBIWQohIRshIVktLEtTI0tRWliwOisbISFZLSxLUyNLUVpYsDsrGyEhWS0sS1MjS1FasBJDXFpYOBshIVktLAyKA0tUsAQmAktUWoqKCrASQ1xaWDgbISFZLSxGI0ZgiopGIyBGimCKYbj/gGIjIBAjirkDWANYinBFYCCwAFBYsAFhuP+6ixuwRoxZsBBgaAE6LQAAAgAAAAACWAgAAAMABwAAAQEBAQEBAQEAAAAAAlgAAP2tAk4AAP2yAAAIAAAA+AAABQAAB/YAAAACACIAAAQrBUwAHwAsAU65AC7/wECTOjUvLnUYdBt0HHwocC6VHAd5GLckuijbG9sc2iQGGScQLigmOSU5JzsoMC5aJ2kncC6ALgvGAAEaHCkcSxzXGdsbBagoAcok2RfaJNkn2CjrJAYcQCMdKAgOHxsIISIBHxsHISMPHxsVISMAHSAsKh0oPyNPIwIjIwcVKigWFhUCCAcIEgAaEBowGkAacBoFGkkuuP/AQBo/NQAuAUAusC4Cny7ALtAuAy4sASIPDp4tLrgBd7MhYWMYKytO9DxN/TxNEF1xciv2XU1DWLkAJgMt6Ru5ACYDLe1ZAD88PzwQ7RESOS9d7RI5ORI5KysrMTBDeUAcJCkXHBglKCYpFyYzASQcJjMBJxkqMwElGyMzACsrASsrKyuBgQBJVHlAEB4iIR8jOwQiHiA7ACEgHwABEDwQPCsAK4EBcV0AcXIBcgBdAV0rAREUFxYzMxUhNTMyNzY1ETQnJiMjNSEyFhYVFAYjIiYnFhYzMjY1NCYmIyIHAaQcJk00/bszViUUGydNMwHxttKQ28gxckE1Uh1ol0iEVDNQAnv+dYAfLCUlOB90A2yAHywlS7J6ptAORwoKoYBYl0sTAAEAPQAAAg8FjgAVAJu3kBfAF/AXAxe4/8CzP0Y0F7j/wEA6OTs0AReyDWQ2UBcBQBdQF2AXcBeQF6AX8BcHDCkeB0oiASkeBicjFCcNQRMeFEQVAAAHBgoAASQNDLj/wLM/RjQMuP/AQBo1OzSQDAFQDAFgDHAMkAygDPAMBQyyFrKjGCsQ9l1xcisrPP08AD88Pzz17fwB9SsrMTABXQFxASsBKysBcgERFBYWMxUhNTI2NjURNCYmIyIHJyUBexk0R/4/Py4aDh8YGigRAREFjvtBVjgdJCQaPFUDQJtHGhAjcAACAEz/5ANTA7AAFAAdAkNAGRJfGF0ZYABgFNYDBRkgHDkXIBw5FkAcOR+4/8BACkNKNAgfQw1dNh+4/8CzKCg0H7j/wEBbKi40GwYZCVgTXhZfF1oYWxoHAQMJBgcJCAwFFUkGiQKMBocMihCFHaMCqxi1E9QC2Q/aEPQC8wMTEgAHAAgQBxAIYAdgCHAHgAeJCcEHyA/wBwwEAQcNhAIDCbr/4AAG/+BAQzYJRgJHCU8fVAJUCWICcgKJE4kZmROkCaQKuAi1CbAKxwLnAuAM9AoUCNAHAQAH0AcCIAeQB6AHsAcEB30EFAAwFhW4/8BAExI5El8VfxWfFd8VBBUVG9MEAQS4/9CyFDkEuP/oshM5BLj/2EBIEjkEMQsLXBsBGyURBwfMCBYoGzkPFgFvFn8WjxYDFvQUFIAIATAIkAgCMAiPCN8IAxAIQAhgCHAIsAjgCAYIqg4VBACJAAIAuAMsQBIwDkAOUA4DAA4QDiAOA/AOAQ64/8BACUNKNA5DHkNLGCtOEPQrcXJyTf1xPBD9XXFdcTwQ7V1xKxDtAD/tcj/tKysrchE5L11DWLJvFQFdWSs8/TwQ9F1xcjkxMAFdADg4AHFdAUNYtAYAAQICcVlxcisrKysrKysAckNcWLkAB//AQAsjOQxALTkNQC05CLj/wLIoOQe4/8CyKDkGuP/Ashs5B7j/wLIbOQi4/8CyGzkHuP/Asgo5CLj/wLIKOQe4/8CyCTkIuP/AQA4JORUQGTkZIBE5DSAROQArKwErACsrKysrKysrKysrK1kTBhcWMzI2NxcGBiMiAjU0EjMyFhUlISYnJiYjIgbaAWRkh1qFLR8Vypil6/G2msb9hwGoBRAZYzZTgwI7zHR0Y3gUieEBAdnrAQfLqjpYJDhAgQACAEn/7QOJA68AMgA9AlVAbwscijMCElM2ARIgHzmAP6gJtgoDEisSfQB9M4YAiwuLNQYdEhY6ED+APwQJHEwFTAZFIEUiTDpAP4kdCAoOByAAIkkBSwpJC0k1SzdDOkk9VwtnC4UJhAqECw9UFoMWAh8/Xz8CYAgzADQ8LiktNLsBGwAMAAz/wLYJOQwoCzkMuP/AQBo6NRAMUAwCQAxQDGAMAyAMUAxgDHYMBAw8GLj/2EApCzlPGF8YbxgDLxh/GAIYfh8QARAlHgcwPEA8AjwsBHAtgC0CLTUpLDC4A0ZAEQQLLsAtAS1gJQAzDQwMNDQzuwFnACQAJf/AQBQOOQAlHyWAJZAlBEAl8CUCgCUBJbsCQwAHABX/wLIfORW4AWdAHhsvOTEHQA45IAdQB4AHAxAHAfAHAVAHAQdDPkNuGCtOEPRdcXJyK03t9O0rEP1dcXIrPP08EDwQPBA8EPZdPAA/9P3kXRDtcT/tcv1dcSsROV1xcisrKy/tERI5ERI5OTEwQ3lARzU7HCMFEzc4NjgCBgkICggCBiEiICICBjULOSAAER0THAASEw8fDRwBIiM7BTkcADgINCABNTQLEhwQHAEOIhAcAToGPBwAKysrPBA8KwErEDwrEDwrKyoqKoGBgQFyAXEAcQFxcgBdQ1iyPxIBXVkBXSsAckNcWLQxQA45Lrj/4LIQOS64/+C2Djk3IA45ILj/6LIMOSC4/+BACws5GCALORcgCzkcuP/wQBoLOQooCzk3KAs5CigKOTcoCjkKKAk5NygJOQArKysrKysrKysrKysrKytZAF0lBgcGIyImNTQ3NjY3NTQmIyIHBhUXFAYjIiY1NDYzMhcWFxYVERQWFjMyNzY3FQYjIiYnEQYHBgYVFBYzMgJHjSQ2PV97HinL7FdTPyUmAi8mJS+wn3pOOxwSChcPEAwVPHBmMToBlyxPRFY4TIRtERmCakMxRHhWJIlmIiIsOi4yNC1WkCkfQiuF/smDOxQHDTw4lkSTAV08GSxgOUhfAAEAZP/kAtUDrwAxAwlAKQksGSwCEhIuQAs5LCgLORgUWQxaJpsQlCQFCgcKKAopYDNwM4AzBg8zuAEgQIcNXTbLDcsOxCTEJdcj1iTZLOYE5iPmJOksCxI/LF0sbi19LI8BjwKPA4AVgBqAG4AciS2PLg0PAQ8CCgMJDAYcCizIIskjCBwDFhQSHBYdGSkbLJkJmQqbIJMjkyQLEisNKCxKLE8zXzN4KXgshg6oI68z6APmHAwpCDEeAL0CHgEfAS8BAgG4ASuyAL0uuAEaQBEqGB4ZvRseGh8aARAaIBoCGrgBK7IZvRa4ARpAIhISJCMNCwQPJyQjDQsEBR4BxwAuLyoxAAAFJSoHGn4ZGRi4A0ZAFBYvHiUSCwLMEgEBEs8h3yHvIQMhuAMUQAtwDwFgD3APkA8DD7gBNkAZJxoZLh8IAQgsnycBYCdwJ4AnAyAnMCcCJ7oBIAAyASCxSxgrThD0XXFyTe1y9DwQ/V1x/V1DWLL/IQFdWTkvQ1xYsv8BAV1Z7QA/7eT0PBDtP+08EDwQ5BDtERIXOQEREhc5Q1hACiQjIyQNCxQNDQuHDi4rDn0QxFkYABDs9O1dcgEQ7fTtABDs9O1dARDt9O0xMEN5QBwoKR8gEBEGBx8RIRwBBikIHAAgEB4cAAcoBRwBACsrASsrgYGBgQFdQ1hACfsH9hD2EfsoBF1ZAXIAcQBdQ1hAGZ8BnwKfA58Lmg2QFZAakBuQHJkilyOfLQxdWV0rAXEAcisrQ1hACy8jLySLLJskmywFXVlDXFhAESggGTkJKBk5AUAKOQJACjkbuP/Asgo5Grj/wEAZCjkuQAo5LEAKOSxACTkMEB4SPw4gHhI/Drj/8LIbOQ64//CyGTkkuP/oshM5I7j/6LITOQy4/+i2EzksGBM5G7j/wLISORq4/8BADxI5AUASOQJAEjksIBI5JLj/8EAPDzksGA85AxANOS5ADTkjuP/wQBINOQwQDTksIA05LBgROSwYETkAKysrKysrKysrKysrKysrKysrKysrKysrKysrKysBKytZAF0BESMmJiMiBhUUFxYXFxYVFAYjIicmIyIHIxEzFhYzMjY1NCYkJyY1NDYzMhcWMzI2NwKQISZ3XEZWIB9fksu9dVRsIRUXDSEhHJ5iRVdh/t4tLZt7Nk0zERASDAOv/siTakotOCgpLkdjon2ZHgoaAUeMjlE5RV6QOjlXcZgXDw4YAAEAEf/kA+0DlAAgAjpACRJTClgYWxkDGbj/2LILNSK4/8BAYRU1FBkUGiMJIgohESASJBggGSAaOgk5CjoSORg1GToaSghJCUQKRRhFGUkaaQicCJkJnRqaG58iqQCoCKUJohmiGqgbvgi1CbYKthi3GboauxvAItUY9gr2GPsaLZ8JASK4/8CzMmA0Irj/wLMrMTQiuP/Asx4pNCK4/8CzR0c0Irj/wLMnJzQiuP/AsyMjNCK4/8CzERE0Irj/wEBAGRw0DyJ8AHIBcgJwBXwggQWFEY8iCToINAo0GDkbxgbAIdgaB4gKiRiHGQM3EkgYAhMYFB4TABsgHgASChEeErj/hkAsCRoZIBgZGTAJChQJCQobGhokCQgUCQkIBwYFBAQIAh4BExISAQEABhoZCxi4AR1AEl8KARAKJAqfCrYK1AoFCn0JG7gBZ0AQQAYvoAi5CM4IAwh9CRl1GrsBGwAgAAn/wLMPEjQJuP/AsxkdNAm4/8CyMjUJuP/Atww1AAnACQIJuAG/thAiAYAiASK4/8CzGR00Irj/wLYPEzQhq4kYKxkQKytxcvRdKysrKxr9GOYZEPRdGPQa7RkQ9F1yGO0APzw/PBA8EDwQ7QERFzmHLisOfRDEhwUuGCsOfRDEKxgAEO0BEMAAEO0BEMAAEO0BEMAxMAFdXV1xKysrKysrKysAXQFdKysBckNcWLUKIBYNPwi4/+i3Fg0/CSQLORi4/+CyEzkKuP/gQAoTOQggEzkbIBM5ASsrKysAKwErK1kTIRUjIgYVFBcTEzY1NCcmJiM1IRUGBwYHASMBJiYnJicRAa8cJykV1dYXCAsiNAErNBQjHP67Kf65FigfETIDlCUmICMw/gYCDTgdDgkPCyUlBBEeRvzuAwU2LxAJCAAC//n+SgO6A68AJwA5AQRAfgo7Qw1dNjkQSRBbEIkRBIYsATssPztLLFssahFqLHMIeRF5LIQIpQfpCPkJDTA7WDNZNGw0BEA7AS8IAygpEhMgKR4ZhiITKR4YJyMAJyFPJx4ARAISKygDBC4QNgE2WQYHAgcuJQ4LGRgOMjEfCpAKAmAKgAqvCgMK6yACE7gBZ0AbICBQIXAhAoAhAQAhECGwIcAh0CEFIWA6wksYKxD2XXFyPBD9PBD9XXLtAD88P+0/P+1yERc5EPXt/AH1KysDDhA8PDw8MTBDeUAgLzUHDQglNCYMJjAlNQcyIAEvDTIgATMJNiABMQsuIAAAKysBKysrKysrgYEBcXJdAHFdKwMlMxU2NjMyFxYVFAcGIyInJicRFBYWMxUhNTMWNzY2NRE0JiYjIgcFERQXFhYzMjc2NTQnJiMiBwYCARomR49PilxxiHCqSjYoMhc5S/4gGTcnExUQIx4YJQE0CQ5tU2Q+UVxAWDAvJAM5ctZ5YWyE1O2bfxUPLf7pXjMeJSUBFgsxZANiWTAYDn/+qm8jOlhOZrnScU4YEgABAEb/5ANKA68AIQGCtAgEARIjuP/AQHMqLTQAI0MNXTYXDVcFAhwTVARTBVMGVAdYG1gcB2cFdgWAAIAhtBvFINAg4ADlBQk3AUcBVhhVHF8jYBhgHHYYchyKEo4TkBGQGKYBpAKvI7MBwQHHB8cZ6QjkHOog9AEYBgJKElcSix+LIIAj8CMHESABvP/gACD/4AAf/+CyAB0AuANGQDAQIQFgIYAhAgAhECEgIVAhYCFwIZAhoCGwIcAh0CHgIfAhDSFmHd8PAQ/HFiUJBx24/9iyFDkduP/YQDgSOR0xAwshzB8MAU8MjwwCDC8QADAAQABgAHAAkACwAMAA4AAJMABAAAIAqnMagxoCUBoBnxoBGrgBDEAS8AYBAAYQBiAGMAZABgUGQyJDuQKRABgrThD0cnFN7V1ycf1xXeRxcu0AP+0rKz/t7XEQ9F1xcuQSOTEwODg4ATgBcV0AXQFyAHIrK0NcWLQAEBg5G7j/8LYTOQUQEDkBuP/AshA5ILj/wLEQOQArKysrAStZAXEBBgYjIgI1NAAzMhYVFAYjIicmJicmIyIHBhUUFjMyNzY3A0ol2IOc6AEBtIeuMSw7HhELIyM+ZD1RoYliTjc0AVy1wwEG39gBDo9NJi8mFXYfHkpioaT7Qy55AAEAEQAABAwFjgA3AjtA/w85HzkCEgYQAQYQAZMJlQqQC5AMmw+aEZsSmh+fObMKCjkZORpfEF8RXx9sEG8Rbx+bAgnrHu0fAoAJgQ7GA8YP6QLpD+0R7xIIPxE/GD8fOCA/OUYPcgp1DwgvAioQICUgJi85OAE4EAcVEFUBUhBUIAQjEFcBVw/mEPUQBUkRSB/CCcIK4woFFwkWEB8dHx9FAkIPBgsRDxMNGgwdDx4OHwZTA1UEUwVZEFQRVBMGGQ8dHR4fUwIEEA8BAhESExMQGR8aHhkuKR4nJyIKAgkeCiEpHiYnIzYnL0E1HjZEAC8ACxMQECQgHxQgAQIgHw8QEDABAhQBAQIBIAAgH0APEwEEJwIPChAQGAo3AAAXuAHsQEwYDMwLCwoGJyYmGRkYCgswDIAMAvAMAdAM4AwCcAzADAIMLxcXnxgBGBofOQE5ISQuACQvLwAuEC6wLsAu0C4FUC4BgC6QLgIuYDg5uAF4syGmbhgrK070cXJdPE0Q7RDtThBy9l08TRD0XV1dcTwAPzwQPBA8PzwQ7RDtPzwZERI5LxI5ORIXOQEQPDyHDi4YKw59EMSHCC4YKw59EMQAERI5GBD17fwB9SsQ7QEQwCsQ7QEQwIcOfRDExAcHMTABcnJxcV0AXXIBXV1dXV1dAHEAcUNcWLkAEP/oQBQSCz8fKBI5ASgSOR1ADzkfKA85Arj/wLILOQu4/8CyETkPuP/AshE5Cbj/wLIROQy4/8CxETkBKysrKwArKysrKwErWQFdARE3Njc2NTQmJzUhFQYGBwcTFhcWFxYzFSE1NjY1NCcBERQWFhcVITUyNzY3NjURNCYmIyIHJyUBT+lKDAghJgGOUm1B6+tiIjAkGT7+QyYbKP7nGS5N/i5GIxULDw4gGhUqEQEQBY78cNVEEgwMFB0CICACLjvZ/td7IS8OCiQkARUTFzMBZ/7QWTgYASQkEQsXIVEDQp9HGxEjcAADAD3+RgPbA68AOwBJAFkC5UCCEhZQlyaZNgMALRBbAnYqdlMCACoGLgZSiyAEPzdPW283dSZwW48EjwWDF4QYjzWKPoNFj0uGT5UXlRiZT7gEuQW0F7QYyTTJS8Bb0FvgW/BbGxogFTMQNRQ2H1sFpwhKNj8bABYDNiFKGwAZQxIREA8ODQwLCgkJExMUCQiAJQESJbj/wLMUDD8luP/AQAsSCz+fJa8lvyUDJbgBnkAOWCuAIQESnyGvIb8hAyG4/8CzFAw/Ibj/wLMSCz8huAGeQBKQSgFKQBQMP0pAEgs/SlAUARS4AQi2CDUGmUMBQ7gDMUAMGUoKLxkBUBmAGQIZvQLSAAYACQNNADwDMUAKBgcZUQFRLCwPTb4DMAAwAB4DMAA5AE0DMEAYEDABbzCPMJ8wAzA1OS4DgFQBVCUfKAEouP/AQB0XGjSPKAFPKHAowCjQKAQodSBbMFtAW6Bb0FsFW7j/wEAWCww0Ww6PlkYBRjEgFgEPFnAWzxYDFrgCvUATmT8BPzEwA1ADAlADAQADEAMCA7j/wLMZHTQDuP/AtgsMNANpWlu6AXgAIQEKsYkYKyv2KytdcXLtcv1dce1y5BArcfZdcSty7XEQ5PRdcu0Q7RDtAD/tcj/95hDtXXE/EO1yEPTtchArK13tKytdQ1i0zyHfIQJdWXL07V0rK0NYtM8l3yUCXVlyEDwQPBESFzkREjk5ERI5ARESOTkSOTkxMEN5QHpLVzpFJDUcHRcYAQUmJTIxMzE0MQMGQSZPJi4lKiZWJVQcARw7HhwASzVNIABCAT8gAD0FPxwAUC1NHABSK1QgAUQYRhwBVSdXHAFWVx06GxwBHBs7AEwxSiABS0o1NkACQyAAAQA+BDwcAU4vURwAUylRIABFF0McAAArKysrEDwrEDwQPCsQPBA8KxA8KwErKysrKysrKysrKysqK4GBgYGBgQFyXQBxXQFxAHJDXFhACi4QEgs/NRASOS64//CxEjkAKysrWQEmJjU0NjMyFzMyFhcWFRQHBgYjIxYVFAYjIicGBhUUFhcWFxYXFhYVFAcGIyInJjU0NzY3NjcmJjU0NgEiBhUUFxYzMjY1NCcmAQYGFRQXFjMyNjU0JyYnJgE1VFrNoINgwisOAwYFAw8rdzjEpURHLB8hMBxwzj1db2qc+8GFSwsRNQdfNCs5ARVKZEQ0UExiRTP++C8wOmS9tKszNJrhAU4pk1mIxEAFBgkXGgoFBkhwgLYUJjkUESAHBAMFCQ1wUnFjklcyNhgYJUIJYx8xHyNeAod2ep5XQnJ6n1pC/IEzWCUwJD5/SDQWFgQGAAIAPAAAAgcFjgALACIA20AZkCQBYCRwJJAkoCTwJAUgJFAkAkAkUCQCJLj/wLMyMjQkuP/Aszg6NCS4/8CzLTA0JLj/wLMjJTQkuP/AQC4ZGjQYKR4TSiINKR4SSiMhJxlBIB4hRAwZDBOQBgEGOQAAIgwHExIKkAkBCTkDuP/AskM1A7j/wEAPPzUDawwMDRkNJBhAKzkYuP/AQBo2OjSQGAFQGAFgGHAYkBigGPAYBRiyI7KjGCsQ9l1xcisr7TwQPBD0KyvtcgA/PD88P+1yERI5EPXt/AH1KysxMAErKysrKwFdcV0BcgEyFhUUBiMiJjU0NhMRFBYWMxUhNTI2NjURNCcmJiMiByclASkqOzsqKjw7fhkxQf5DQy4bCQceGhwoDgEUBY47Kio8PCoqO/4h/SBWORwkJBo8VQFhlSwgGQ8kcAABAAwAAAP3A68AMwEIQDo1QCo1CDVgDV02MDVQNWA1cDWQNQUtBAFANWA1cDWANZA1sDUGsDXQNQKwNQFgNYA1wDUDHQgWKR4PuAMPQBEiKSkeJEoiCCkeDkojHSkeI7gDDkAuIzEnKkEwHjFEHAAjMjMHGiwCByQjIw8PDgoXFiQHkAgBsAgBDwhwCJ8IzwgECLgCvUAbKTMdJCofKVApYClwKQSAKZApsCkDACkQKQIpuP/AQAkUFjQpYDSmfxgrEPYrXXFyPP08EP1dcXI8/TwAPzwQPBA8P+0/PBE5OfXt/AH1KysrKzEwQ3lAEhgZAwYEJRkDFxwBBQYYBRocASsBEDwrK4GBAV1xAV1xAF0BcisrATYzMhYXFhURFBcWFjMVITUzMjY3NjURNCYjIgcRFBcWFjMVITUzMjY1ETQmJiMiByclMwFLoZJLbCAWDgsxQv47E0AzCgRBTXd2Cw4xS/47FEYxDx8aHCcPARQrAu3CS1Y8fP55Vx8ZHCQkJyYPTwF3fXGC/h1dFh0bJCRHZAFUpUgaDyRwAAEADQAAA/MFjgA2APpALzhAKjUKOGANXTYPJQ8mgDiQOASwOMA40DgDKwYBUDhgOHA4kDgEQDgBIAgYKR4RuAMPQBEiLSkeJ0oiCikeEEojISkeJrgDDkAuIzUnLkE0HjVEASAnNgAAHSwEBycmJhEREAoZGCQJkAoBsAoBDwpwCp8KzwoECrgCvUAlLQAhJC4fLVAtYC1wLQSALZAtArAtAQAtEC3ALdAtBC1gN6Z/GCsQ9l1dcXI8/TwQ/V1xcjz9PAA/PBA8EDw/7T88ETk59e38AfUrKysrMTBDeUAUGhwFCAYlGyYcBRkcAQcIGgcdHAErARA8KysrgYEBcXIAXQFdcSsrARE2NjMyFhcWFREUFxYWMxUhNTMyNjc2NRE0JiYjIgYHERQWFjMVITUyNzY2NRE0JiYjIgcnJQFNb4JBTnAbEw4KMED+PhVAMgoDH0QwMWpKFTlG/jo9IxQYDx8aFS8OARIFjv1iekVWXECq/rxXIBgcJCQnJhBOAUSWXi80T/4cXi4fJCQTCjhWAz2dSBoQI3AAAgBE/+QEBQWOAB8ALQEuuQAv/8CzR0c0L7j/wEBCKy40YC98BHwFigSAL68vwC8HQC+ALwIALxYqFStVBVUIVCuWBwdIBwEgLzcKRwpWCpgEpyqgLwfAL/ArAiAgACAhuv/gAAv/4EBFPCBPIF4gZgpsIHognwCfIKoHuQfGKgsmCBMnDEESHhNEFR0nFkEcHh1EHwAgIQsELBUAJSUJBx8sASwsHwMLHwALIQwguAFnQBIVYBaAFq8WAx8WkBYCFuspUAa4/8CzKC40Brj/wLdHNQZDLkN/GCtOEPQrK03t/XJdPP08PDw8PAA/PO1yP+0/ERc5EPXt/AH1ABD17fwB9TEwQ3lAGiYrBAgnJSYIKSAAKwQpIAAoByUgASoFLCAAACsrASsrK4GBAF04ODg4AXFdAHEBcnFdKyslBgYjIiY1NBIzMhc1NCYmIyIHJyUzERQWFjMyNxcFIzURLgIjIgcGFRQWMzICx0OASpbg+MN5Tw8gGBorDQERLQ8hFhstC/7wLgY8Yy9YRVuwbFtnRj37xcUBR02pnUgaECNw+92hRxwRI3HJAdhEcDlPaMjK1wAC//v/5AO5BY4AFgAkAPBAeRAmAaQGtga1B+ofBAUmQw1dNiAmdQN2BIYDhwSmA6sIB0cHAToIFCcNQRMeFEQYFwwABBsWABAhASFZAgcbJQkLHjEfBZAFAmAFgAWvBQMF6wwWAAAYJAwMEA1QDXANkA0EgA2QDbANAwANEA0gDTANsA3ADdANBw24/8C3PDUNYCXCSxgrThD0K11xcjxNEP08EDwQ/V1y7QA/7T/tcj8RFzn17fwB9TEwQ3lAKBkgAwsHJiADHiABGgoYHAAZGAsMHAgeIAEfBCEgARkLGxwAHQYbIAAAKysrASsQPBA8KysrgYEAcQFdKwBdAXIBNjMyFhUUBwYjIiYnETQmJiMiByclMxERFhYzMjY1NCYjIgcGATuFmo3SoourUKVWDyAYHCoOARMtM205W52dZDU1KAL2ufHR9JWAOjoDtZxIGhAjcP0o/dwyM8i/sL0bFAABAAz+RgP0A5QAMgFsQKsJEBILPw4rlSkCEzQuFmQ2gwWFBgIJCQUSCBkIGgkrFBomCSQSJBomKzgBNhI1G0cSaAloCmkZZhpjG2gseAh5CnkZdxp0G3gsiQqJGZgAmAmXGpYruwDQNOUGIwkJCCsrLCoqCgEIAh4BExkUHhMALDIeABIKER4SJgggGRoaMCoKFCoqCiwrKyQJCBQJKyoJCCsqGgkECggsKyoaGQoJCAgjExISAQEABie4/8BADhILPycvIzkdDzQXFxoZuAEIQBuPCgHfCvAKAmAKcArvCgMKfT8JTwlfCQMJfQi4AQ5AHSvWDyABDyCfIAIgj18sAS8sPywCLBkzNKkhpn8YKytO9F1yTeRdceT99F30XV1x/U5FZUTmAD9N/eQrPzwQPBA8Ehc5ARESFzmHCC4rDn0QxIcOLhgrfRDEARESORgAEO0BEMAAEO0BEMAAEO0BEMAAEO0BEMAHEAg8CDwxMAFdAXErAF0BKxMhFSMiBhUUFxMTNjU0JyYmIzUhFQYGBwYHAQYGIyImNTQ2MzIXFjMyNjc3ASYnJicmJwwBqxUtLSHfzREHCCIrASolKBgJGf6LNq9RO0w3MCE5KAoeRyRB/rcPIRkQFzMDlCUnHSdF/jIB+ikoEgkLDSUlBBghDj/8boWIRCwqMxYPPlmfArMfLiMMEAwAAQANAAACtwOvACgApEBvIAIgDzICMg9AAkAPggQHQCoBXyoBHykeGCciESkeF4YjJycgQSYeJ0QACgsqERQgEAEEGIAJAQk5EAwBDFkDAwAHGBcKXwYBQAYBBi4fKgEqABEkHx8fIAGAIJAgAgAgECCwIMAg0CAFIGAppm4YK04Q9F1xcjxNEP08EHLkcXIAPzw/PBDtcu1dERc5ARESOTkAEPXt/AH1KysxMAFycQBdARU2MzIWFRQGIyImIyIHBgcRFBcWFjMVITUyNzY3NjURNCYmIyIHJyUBTHN5N0g0JCNXFRIVLTATDUI+/itGIhkKBQ0jGh8nCgEVA6/OzkMsJzZFFCle/klMJxskJCQWECMRUAFjoD0cDyRwAAEADf/kBbQDlAAsAyKxEi64/8BAHD81FicgECARJScgLl8uaQlwLukl6Sj4JfgoDC64/8CyEzUuuP/AQMgbHzQhLi4pZDYdGRkfGyMQLgQKJh0mLCY5JlUXpxenGKcmCAslNyQ3J08ATAFNB0kIRyRGJ00oTSmIB4AQgBGNJYgoiCmALpoQlBenGKcluxC5Jbkovy7IJcgo2SXZKNAuHwAFBAcGFQQXCSUHJwkoBik1F0MQQxFQBVIHVhhSKYkLjxCIGIkZiSOIJYgmgC4XhwmGF4cmAw0JWQF3EHcRBAkJCCYmJyUlCgEHAh4BEBcRHhAgIyEeIAApLB4ADwoOHg8fGR4eH7j/hrMIKCcguP99QEAYJSQgCAcICQckKSgUKSkoJicmJScwCAkUCAgJGBUYGRUkCiUUCgolIyQkMBgZFBgYGSkmIxkYFwoJCAcKACghuwHsACAAHgHssx8BDxG7AewAEAAOAexACg8PEBAfHyAgAAK7AewAAQAsAeyzAQAGGLsBagAlAAgBpkAPKEAnJSUkJCgLIPwPZQoBuAGxtMAAZSkjuAEIQBVAGy9QGQGgGQG9Gc8Z3xkDGZIkLxi4ARu3IA8lARAlASW4/8CzCww0JbsBEAAmABUBZ0AMQAovXyYBQCaAJgImuAHstAl9Jy8IugEbAAgBG0AKIAAoAYAo8CgCKLj/wLULDDQooAe4AWdAG1ApAYApAQApECkgKUApsCnAKdApBylgLauJGCsQ9l1xcu30K11xGRrt/eT07V1xGPQa7RkQ9CtdcRr95PRdcXIY5BrtEPQa7RD07QA/PBA8EDwaEO0Q7T887RDtEDwQPBA8EDwQ7RDtEDwQ7RDtERIXOYcFLisOfRDEhw4uGCsIfRDEhwUuGCsIfRDEhw4uGCsIfRDEKysYABDtARDAABDtARDAABDtARDAABDtARDAABDtARDAABDtARDABxAIPAg8MTABXV1xAV0AXQFyKysrAV0rQ1xYtSYQFAw/JLj/8LMUDD8TuP/gsh05F7j/4LIdORe4/+CyFDkXuP/wshc5Jbj/8LIVORe4//CxFTkBKysrKysrKytZEyEVBgYVFBcTEycmJyYnNSEVBgcGFRQXExM2NTQmJzUhFQYHASMDASMBJiYnDQGANSERxMU0GCcWPAG0SB4UCNDBFCc5ASFXKf7OKeX+9SX+2h04PAOUJQQeHB8s/fEBrYc8Fw4DJSUDFxAjFBX98gH7NiATHgIlJQ1p/OsCSf23AwJJMw0AAQCR/+QBbwDCAAsAK0AcAEAGCwNACUA6NQlAPzVfCQGfCa8JAgmFDGp6GCsQ9nFyKyvtAD/tMTAlMhYVFAYjIiY1NDYBAC9AQS4uQUHCQS4uQUEuL0AAAQApAAAEtwVMACAAhkAbEAAQASAAIAFAIlcCZwJ3AoogmSCpILkgDAEiuAGOQDMOZDZVAlweAgkfGwMhIhY3GxE9IgofGxAhIyAfIAAwAEAAAwDnHBEQAhwjAgMIAKwBbAK4AsRACxYXIgkJCp4hYV0YK04Q9DxNEP089PTtAD887T88EORdOTkrKysxMAFyKwFdARcDITUzMjc2NRE0JyYjIzUhFSYGBhURFBcWFjMzMjY2BJYhdPvmM1YlFRwnTTMCZmxXIBAMMoNjnH5oAXcH/pAlOCB0A2t/ICwlJQEqQHn8rFMfFRQudQABABEAAAYwA68AVwFEQBw0B9BZ7xYDgFkBEVlgDV02Kw0BkFkBIAggKR4YuAL8tCI3KR4xuAL8QAsiTCkeR0oiESkeF7gDDrQjKykeMLgDDbQjQSkeRrgDDUA+I1UnTUFUHlVECCk3TUA5KSgIAAclR1ZXBzwsBSUsDAoLBwYEBQdHRjEwGBcKWRcXGhARJCEwIAFwILAgAiC4ATVADzcpLiskODA3AXA3sDcCN7gBNUAWTVdBJExMH01QTQKATZBNAgBNEE0CTbj/wLYUFjRNYFhZuAJasyGmfxi4AWSFKytO9CtdcXI8TRD9PBD0cXI8/eQQ9HFyPP08TkVlROYAPzw8PDw8Pzw8Pzw8Te0Q7T88ERIXOQEREjkA9e38AfUrKysrKysxMEN5QBQiJAwPDSUjJiQMIRwBDg8iDiUcASsBEDwrKyuBgQFyAF0rAXFdATY3NjYzMhYXNjYzMhYXFhURFBcWFjMVITUzMjc2NzY1ETQnJiMiBgcHFxEUFhYzFSE1MjY3NjURNCcmIyIHBgcRFBYWMxUhNTI2NjURNCcmJiMiByclMwFQZBItaDNWfBVnjktJcSEWDQo2Pf48EzshFwoEGydWNWtMAgIVOkb+MUw5CwUhLE82NVMtGTFL/js/MhoJBx4aHCcPARQrAuxkDyYqZF94S0tVOnz+dlYgFh8kJBcQIxFQAYpwLkA1SAsr/kteLh8kJCQkEVIBinAxQB0sN/4VWjYbJCQbO1UBXpcsIRkPJHAAAgBF/+QDuQOvAA8AHQFYQEUSgBUBpxa2FsUByQnEHdkJBhLnCgFICUUWVxWFAYwJiQ/ZGwcfQDI1BB9DDV02nx8BxhXJGgJAHwFJCBAlAAcXJQgLEgS4/8BAKxILP08EAUAEAdAEAUAEUARgBHAEkASwBAYE7AxAEgs/QAyfDAIMQx5DSxgrThD0citN7V1dcXIrS7AoU0uwUFFasQweSbEfBElSWli9AAz/wAAE/8AAH//AODg4WUNYvAAaAzIABAAUAzLpEOkbvAAaAzIABAAUAzLtEO1ZAD/tP+0xMEN5QDYBHRIlDiYCJRwmCiUGJhEPFCAAHQEaIAEWCRQgABgHGiABEw0QIAEbAxAgARULFyAAGQUXIAArKysrASsrKysrKysrKyuBAXIBcXIrK3EBXQFDWEARdQJ1BnoKeg56EngWdRh1HAhdWV0AXUNcWEAJHBARORsQETkVuP/wsQs5ACsrK1kBMhcWFRQGBiMiJyY1NDY2FyIGBhUUEjMyNjU0JyYCANB+a3bPf896Z33MUzVrQp+CYX5pRwOvnoeve/yApYutfvl3QT+efMj+3qDD9IxgAAEA8AAAAwYFaAAWAJdAFEAYYBigGOAYBAAYQBgCdgCGAAIOQRMBaQFBAAkBoAAiAAMBaQFBAAgBoAAjAAAB+AAPAWkAFgFBAAAB8kAOAQ8PAgkCAQUJCAwCAwC6AfcAAwFJQBIODg9AETUwD38PkA+gDwQPGRe6AiQB5AAYK04Q9F0rPE0Q7eQQPAA/PD88ERI5ARE5APXt/AH1KysxMABdAXFdEyUzERQWFhcVITU+AjURNCcmJiMiB/ABSiETPFz+AmA4FgoHJRolQgTHofuHcjgeAiUlAh0xegLclCogHh8AAgAgAAADuQVoAAoADQDXQCgWDQEPAEUNQA8DQA8BKgwBFQcBAgYBAwkFBgEEDAsNAAQMDQQGDA0NuAEcQBIHCBQHBwgIAwQHBgwIAB8NAQ27AZwABgALAZ9ADQUBBgkIBgYIBQQMDAS7AUkAAwAIAWZACwkJDwMBnwOvAwIDuAH3QBgBPwABABoADwFgD6AP4A8DDwZABwEHGQ66AY4BAQAYK04Q9HE8EF1x9l08TfRdcTwQ5hD9PAA/PzkvEDwQPBDtEP1yPBE5ETkBERI5hy4rBH0QxAEREjkPDw8xMAByXQFdcXIBFSMRIxEhNQEzESMRAQO5tqX9wgJ1bqX+JAH0jv6aAWaAA4L8jAKh/V8AAwB8/+gDigVoABkAJgAzAXpAulkBAQkzHzMqJ28zeiKAC4AMgBqAG4IlgCaKM6kYpRqnJbMMtBq3JrsnxQrFC9cNFgcACgEGDQIaCScWDRcaJQ0lDksBjAGDDYUOqQAOOwA6AUsASwFJKF8BWydcM2oAagFpAmcmaidoM3sBfCd2LHwzjwSPBYAHgAiCEYISjxSPFpgElgiUEZYSmxamJq0nrTO4BLYI6QvqDOkO6SfpMikHDQknOgA5ATgyBUQIAAwaJwQADBonBBAXILgBBrIGBS24AQayEw0dQQkBDwAJAUAACQFAADABDwAQAWZAEAA1QDUCQDVgNaA14DUENSO8AQ8AAwE+ACoBD0AKMBdAF5AXAxcZNLoB7gHpABgrThD0XU3t9O0QXXH27eT07QA/7T/tERIXOQEXOTEwQ3lAMisvHiIRFgQIFSUhBSNiAB8HHWIBLBQqYgAuEjBiASIEIGIBHgggYgErFi1iAC8RLWIAACsrKysBKysrKyuBgYGBAXFdAHFdAHIBJiY1NDYzMhYVFAYHFhcWFRQGIyInJjU0NiU2NjU0JiMiBhUUFhcTBgYVFBYzMjY1NCcmAYmhXcyppMhsq7A5TNqxwWxWeQExeEB2ZmaANTE2U1CNbWyCJkcCq4SgVoS/snJMnmuITmZxj8t5YXNasdZsfU9pd3ZPNGgv/udGpWCBm3pXSDlqAAIAUf/kA6gFaAAXACcBDEAzeyfZBdci2ScEaAR5BX0Iegl3DHgNeRN3IIsIgxMKCQiPKQI7CAUnGCEnGAUDHiUEAAcFugFjABgBQLQnUAcBB7gBQ0AJLyVvJQIlJQAeuAEGsg4FAbgBjLQXFwANGLoBPgAaAQ+3ABIQEiASAxK4AWVAEgApQCmAKQNAKWApoCngKQQpAboBQAAhAQ+3QAq/CgIKGSi6AR4B6AAYK04Q9F1N7eQQXXH2Xf3kAD88EO0/7RI5L13tchD07RESORESFzkBERI5OTEwQ3lAKhskCBEMJhAlHCYjJh8NIWIAHQ8aYgEkCCFiACALHmIBGxEeYgEiCSViAAArKysBKysrKysrK4GBAXFdAF0XNTY2EjcGIyImNTQ3NjMyFxYVFAIHBiMBNjU0JiYjIgYVFBcWMzI2bILg0Smdf4/MZnvGp3eS3sahvgIzEkJ5TVmGWUFfLn4cJQJ1ASSvZd23soupiqv74v55gWoCuYJOYeF4oJ7Td1YsAAEAYv/oA3kFTAAhAQZAQ6QEARJZHmkefwV/Bn8djASNHQc1AjUhVQNVIFchaxx2BXkchwKKGoocowOoCaAj4CMPACMBDxAREhMVFhcIFA0CAwO4ARxAESAhFCADBCAhGhscAwcYBAUDuAGfsyAgIRO6AfkAGAMTQAwNDQHiAALiISEABAC6AT4AGwFHtYAHoAcCB7gB9UAKQCMBQCNgIwIjFrgB+bYQAqAhASEDuAGfQAkgQBCgEAIQGSK6AZUB6QAYK04Q5F1NEO0QXTwQ7RBdcfZd7eQAPzwQ7RDtP+3tEjkv7QERORESFzmHCC4rBX0QxAAREhc5MTABcV0AXUNcWEALawRvEmQecAVwHQVdWQFdAQchBwQXFhUUBgYHBiMiJjU0NjMyFhcWMzI2NTQmJyYnAQN5Tv5oWQEJm4VXhFFzeXpvLiMaJy9LTXWxnottvAEEBUyqtieeiLhrtoAnN1MyHCsQITSxf3vVOi0HAg8AAQBK/+EFDwVrACQA+0BCCR4vAS8CLwMvH5YPmR6jD6MStg+3EgsIHgEWFwF9A3sVeBaNA4oWnQOWGqwDuwMJDAMOBAIdSANZAwUvCBARJBsAuAEFtQIbAQG6ALgDS7YgmgUoHAMBuALftRErsBABELgDQbWPDZ8NAg24Ay9AKRQJAqwAAQEBMhCsrxEBHxE/EQIRGkAmASYJPCAYAQ8YHxgCGEklZGMYK04Q9F1yTe1OEF32cnFN7fRx7QA//XH0XfTmP+3s9O0BEO307RDJMTBDeUAgFRsGDAclGiYLJhYlBhsJLQAMFQktAAgZBS0BChcNLQAAKysBKysrKysrgYEBcV0AcnFdARMjJiYjIgYCFRQSFjMyNjcXBgQjICcmNTQSJDMyFxYzMjc2NwTRHx8+5qGH2n127ZiEynkfZv7wu/6vuYq2AT+9k48qEhsUGgsFa/4zz7aJ/tTfuP7ykHGoFLWo+rr8ywFUu0gWExswAAEATwAAA3oFjAArAR1APosgmRWZJgNEA0QMSBmFA4UMBZoEAS8tfyGQBpAHnwifCZ4QnhGwLQkQBhAHAl8qXysCHAgOtB4IkiIBtB4HuAMIQB8jHp8evx4CHhEkJRcBK1AQARAwKikSEQYIBwoQGwEbuAFSs48tAS24AvayASoruAEQQA0oKQESDxEQkg8PASQOuP/As2BgNA64/8CzOjo0Drj/wLM/PzQOuP/AsyQxNA64/8BAFhwhNJAOAQAOEA5fDnAOwA7QDgYOGSy6AwYDBwAYK04Q9F1yKysrKytN7TwQ9DwQPBA8PPQ8EOZd5HIAPzw/PDw8/XI8P/0ROV0vKysxMEN5QBIlJxQWJiUVJiUWKBwAJxQkHAErASsrK4GBAXJxXQBycV0BERQXFjMzFSE1MzI2NjURIzUzNTQ2NjMyFxYVFAYjIiYmJyYjIgYGFRUzFQGmHCU+U/3dKShCGbKyWLVxaVg6NB4XM0ofHyYuQBzsA0z9poAiLCQkKERiAlpIPIm+dUQtOB41IW0TEzFn1kJIAAEAFP/xAjwEwQAbANa5AA3/6EBBDDlfAV8CAj8dmRGZGb8Vvxa4GegZB58dAYkaAU8MTw1fDF8N9RgFBhgVGCcYAxYVGBkaAwEYGRoDFBugAQMVMAS4ARtAHAEDMAICAQYMNQgsDwsWzxXfFe8VAxVlFBvMAAu4AexALCAMAQwuLx2wHQIdAAEBBAQFJBRQEwGAEwEAExATsBPAE9AT4BMGE2Acq4kYKxD2XXFyPP08EDwQPBBd9F3tEO0Q9F08AD/95D88EO0Q7f08EOQBERc5ABEXORI5MTAAcV0BcXJdAHIrAREzFSMRFBYzMjY3MwYGIyImJjURIzU2Njc2NwFK1tYzKCE+EScjgEQuWCqRN3MtFykEwf7TRv2uWT4pKGJjM19jAmghFmlIJmUAAwAiAAAE5gVMAB4AKwA4AllAMFoAWh6JAIgeiTOZGp0nrBqsJ+ka6ifnLww4AHoneTOaMpkzpSSqM9ga2CfYKAoEOrgC57MPZzY6uP/AsxwiNDq4/8BA4xUXNDNAISw0M0AZHjQyQCMoNDJAGx00RCREJYka2QHWJNoz5SUHBCQBJQ0yEAMVBhsaFB4WJBYoFTAuMkUkSjRXAVgZWieWAhEQABA6VQFaJGA6cDqAOqA6CBowGjJQAAMQBxokHigZLwQGAgMeFx5PM4gkmiTZMwcgOkA6UDpjAmMDYAVgBmAHYDB2BnMacxtwHnQkcyd6KIQGhhuGHo8zgDrKL9ov6yT6JBlZCA8fGwkhIhAfGxYhIzMkAAMELAA1Kx8kAyIpOCwzAy4iKDU1CRYpKBcXFgIuKAgICQiQJgEmuP/Asjo1Jrj/wLJCNSa4/4CzP0E0Jrj/wLNDRjQmuP/AQBRCNSZMXxwBCh4wHAIcVQQrHzgsMbj/wEAQRTUSQASgBAIABKAE4AQDBLj/wEAKDRE0AAQBIAQBBLgB0bYsIhAPnjk6vAHRACEAYQEYABgrK070PE3t/V1xK11xQ1i5ADEDLekbuQAxAy3tWSsQPDw8EPRdcu0rKysrK3IAPzwQ7T88EO0REjkv7RIXORESFzkROQEREhc5KysxMEN5QEEvNCMoGB4BBxobGRsCBgYmJCUCJTMmKBgmMwEvBzEzASMeJjMDNAExMwMnGykzATAFLjMAJR0iMwAeMgM1MwEBABA8KzwrKysBKysrKysrKysqgYGBgQFdcQFycnIAcnEAKysrKwErKysAXQBdARYXFhUUBgYjITUzMjc2NRE0JyYjIzUhMhcWFhUUBiUWFjMyNjY1NCYjIgcRFjMyNjU0JiYjIgYHA7KNRmGA3+X9gDNVJRcdJ00zAkqkY5aefP17JV85kpNOwrpkUHRxtb5Wwo8+WBsCtB5CXIVluVUlNiNyA2x+ISwlGCS3d2ahDwcHP4JNd6gW+28bo3hPklQEBQABACIAAAbyBUwAMAHBQOgPGAEOAAgXDhkNKA8pDyoEMAcSPQE9L1kYbwFoGG0veRiXAZovyxjaGOgB6xgNDRgBChcGMEYwAzYYNjBHGAMWMCcYJjADBhgFMBcXAysAKRgmMDsAOhc5GDUZNTA/Mk8yaAB6AHYYeRl0MIoAiRiFMJkAlzCpAKYwoDKwMswXyRjAMtwX2RjQMu0X6hjqGeAy9gD6F/cwJUgBSRdGL1oBWRdWL2oXeBnGGMUw1hjWMOUY5TAODx8bCSEiIB8bGiEiLh8bKCEiAh8bCCEjEB8bFiEjIR8bJyEjFxgYIgABFAAYGQABGRgYuALJQD4wLxQwGBcwLxgvAS8YAxYXGhkZFwIJCAgAADAwJygIMFsAAAIZLy4iICAhoCGwIcAh0CHgIQYhnkAyATIBArgCybYQD54xYdwYK04Q9DxN/TxNEF32XTxN/Tw8ETkv/gA/PDwQPBA8EDw/PBA8EDwXOQEROYcILisFfRDEhwguGCsFfRDEGCsrKysrKzEwAV1dcXFxcQBxXUNcWEAbLxAUDD8BEBQMPwEQEDkYGBE5GBASOQAIGDkXuP/QtRc5FzAUOQErKysAKysrACsrWQFdAF0hAREUFxYzMxUhNTMyNzY1ETQnJiYjNSEBASEVIyIHBhURFBcWMzMVITUzMjc2NREBA0b99BslUDD+KDBWJBYUDktTAYAB7AHkAYAvVyQWHCVQL/3AMFcjFv31BHX8dn0fKiUlNCByA3ZaKB0nJfvbBCUlNCBy/Ip9HyolJTQgcgOK+4sAAQAsAAADqwVoAB4BRkCCBxgLORcYHD00GEAcPTQZQBw9NA8eFhYpBzwHSQepBwZAIFsEWghbF1oYawh0EXQSnAudDpkRrAusDskFyRfIGNkX2RjgIPkE+RcVFQEdBBkFGxUZFhkXHRgHCRcLGAsdNBlHGYkXjyAHGBkCAhcaGQwZBg0DGQIFBhgXFhUUBxMEDbgBaEAJCUAUDD+ACQEJuAMzQAwQBRqPGQGfGa8ZAhm6AzMAAwGNswECDB64AY1ADQAG4k8TXxNvE38TBBO4AQdAE0AAAQAaACBAIIAgA2AgoCACIBm7AfkAAwANAUBAFF8CbwJ/Ao8CvwLPAt8C7wIIAhkfugGOAQEAGCtOEPRdTeQ87U4QXXH2XU30Xe0Q7QA/PO39XXE8P/1xK+QREhc5ERI5ARESOTkCEA48hxAFfcQOxDEwAXFyXQBdASsrKwArAQMhNQAANTQmIyIGByM2NjMyFhUUBwYHAgchMjY2NwOrX/zgAWEBIJ5uZJ8mJRnPm6XdMEqm+T4BYmxXRhoBBf77JQFCAZipgaZ1cbnG1JBnZ6K1/vA4EDEtAAEAU//oA1YFaAAyAUy5AAr/4LIMOQm4/8BAPAw5QQlFCkYLSyIEzwkBKSk4KUA0YDTPNOA09woHADQBQQl/I3ouqiS5JLouyS7fI98l2y7qIuklDEkIKbgBjLMoKBAAuALks9AwATC4AzS1AwUQFgEWuAGftR1AKy80HbgBQ7MQDSkouwFoABQACQLjQAtQIIAgApAgoCACILgDM7OwDAEMuAGQQAtQLYAtApAtoC0CLbgDM7VfB38HAge4AuVACkA0AaA0wDQCNAC4AT63QBO/EwITGTO6AR4B6AAYK04Q9F1N5BBdcfZd7V1x9F3tXXHkEPQ8AD/tK+1yP+1d7RI5L+0xMEN5QDYuLx4mCg8EBiIhIyEkISUhBAYFJQ4mJgogYgEvBC1iAR4PIGIBIQsnYgEKCS4GMGIBHw0dYgArKxA8KwErKysrKyqBgYGBAF0BcV1yAHErKxM2NjMyFxYVFAcWFhUUBwYhIiY1NDYzMhcWFhcWMzI2NTQnJicmJiMjNT4CNTQmIyIHaDqxhKNXQrp9gHCS/uuJYy8hGRoReBclKmaXIxofK5ZOIE+fSIFgm2gESomVak9alJ4xtnuwgahEJx0sCAU/BguebE9LOB0oQR4KXoRPZ3+mAAEAUwGAAlgCFwADAD9AIAIFgB1kNn8FAQEAAgCwAwMAAhABUAFgAZABoAHQAQYBuAE0tQCABFRaGCsQ9v1dPBA8AC/tPBA8MTABXSsTIRUhUwIF/fsCF5cAAgBK/+gDtwVoABAAJAC6smEIILgBBrIFBRW4AQayDQ0auAEPQBIJGgAmQCYCQCZgJqAm4CYEJhG4AQ9ADl8AbwB/AI8AoAAFABklugEeAQEAGCtOEPRdTe1OEF1x9k3tAD/tP+0xMEN5QEwBJCMkIiQCBgIBAwECBgclHBsdGx4bAwYTJg8lCyYYGRcZAgYhBBFiAB8GGmIBFA4RYgAWDBpiASQBIGIBGwggYgESEBViABkKFWIAKysrKwErKysrKisrKyorKiqBEzQSNzYzMhcWERQCBiMiJyY3EBcWMzI2NzYRNCcmJyYjIgcGAkqMdFpgnHybiNNiwoFtxEU5cTZ0Hi4wJDkpOkQ1SDQCnugBT1JBn8X+r+z+tpXlwff+6LGVYXKsATnom3MwIT1T/pwAAQCA/+EEBQVrADgCV0AZEpUsAQ8BDwILAwAPBCgAKQUrTwFPAgkROrgBRkDQNjg2GgMbBF8YXxlfGl8bBgUNBQ4AKsA6BHQLdA10DnYPcB5wH3AvcDCJCIYLhw2HDoQPhyuoBKgzEBINMw00DTUdMx00HTUvAS8CLQQgHiAfKSktMz4BPgI/BDAZMB4wHzAhPTQ9NUgNSCpUC1YNVxBWKVYrHR8BHwIbMx81GzZUGFQZVBpZMlwzXDRcNVw2WjcOAwsLKRMLGykjCyA6OykwOnISchOJJJgHmC+ZMKgvwCjBKsYrwDrwOhROCDgbAG8CG68BzwECAX8BAQG6ALgDS0ANNZoxHBsdbx8bHh66HbgDS0A0GZoUKisrPAwOFAwMDisMKg4EJgkrDCoOBAYjAf0AAAYoMQMjKBQJAqwBQB4iNAEBHyYBJrgBI0AQLxG/EQLfEQEgEa8R3xEDEbgCh7cfrB4rEAkBCbgBI0Afny4Bvy7vLv8uAy5ARzVALs8u7y4DAC4gLjAuwC4ELrwBRgA5AUYBGAAYK04Q9F1dK3FyTe1y9O39XXFy/XI5LyvtAD/tP+08EO0REhc5ARESFzmHDi4rDn0QxBgAEOz07QEQ7fTtABDs9O1dARBx7fTtMTBDeUA2JDAHEygmCywJMwApDyYzASQTJjMBBzAJMwAKLQwzAAsMLCsnECozAQ8OKSolEiMzAAgvBjMBACsrEDwQPCsQPBA8KwErKysrK4GBAV0Acl1DWEAJYwtmDWcQYysEXVldAXFyKwBxAF1DXFhADAsYDzkEMA85MzAPOQArKytZAREjLgIjIgYVFBcWFx4CFRQGIyInJiYjIgYHIxEzHgIzMjY1NCYnJiQmJjU0NjMyFxYzMjY3A6slEl2sXGiIKz7pvotL77w7NB/DGhkdByUlGli1bH2RNzon/qSTTOCtbHk4FxohCgVr/iuHoF5/UT4zS31mbZRRmt8JBT8eLwHRkpFghFoyZiwew3SMVJLTNRkfLwABAAL/5AP9A5QAJQDcQDUBJ2ANXTYgJ2AncCewJwQ0CzcfOiBIH0ggBRoIE08eGCcjIU8eJScjCCcBQQceCEQgCyUdCLgBRUATCgAlJRkZGAYdLA4OCgsKCwshILgBZ0AOALABAQ8BcAGfAc8BBAG4Ar1AJRIZGiQSElATkBMCgBOQE7ATAwATEBMgE7ATwBPQEwYTYCbCfxgrThD0XXFyPE0Q/TwQ/V1xPP08PBA8AD88EO0/PBA8EDwQ7RESOTn17fwB9SsrMTBDeUAQGxwPERwPGhwAEBEbEB0cACsBEDwrgYEAXQFdKwERFBYWMzI3FwUjNQYGIyImJjURNCYmBzUhERQWMzI2NxE0Jic1A2MPIRYfJw7+7i12fEVNcSwcN0gBQVk/K21LOVoDlP3Vn0ccESNxwoBCWYyAAZlBMhsBJf2bgFA2TAIHTjcCJQABAFEDIwEaBWsADABRQBsKDoAeZzYLGCo1NAw4KjU0uAvIC9gL6AsEDAC4AVS3BgMOFxcaCQC4AzVACgwMCW0DgA1UpBgrEPbtOS/tThBFZUTmAD9N/TwxMAFyKysrEwMmNTQ2MzIWFRQHA542FzQtLTsaNgMjASh7K0A6OzAlkf7ZAAEAIgAABdgFTABDAkBA8XsOvg4CbAABfwB1AnsOdjB5NXo2vwq6DQhtAAESBEUuEWQ2NgJVAmUCgAKJQJACmUCzDbQOujO6Q9UN1zINEgsBAw4CBgIFMosAhzKeAKwBoA7RMggLAAEBAAIFDB8JHg0qACUBLwk/CU8JjADGNNkA8jQPCQsZCzABNQIzQEJAUEWmAaMCpUC2ArYKsELNANwA0AHUAtYD6wDrAfAB9QrwDPINGBYzFjQ0MjA0VAGZAJQNljKVNAkGDQcbBh4fGxghIi8fGyghIjxBPRs8BQQEGwUPHxsXISMfHxsnISM7NDobOwEAACIODRQODg1BAAC4AslAVDA0FDAwNAABDTRBBUUwAEE0BDoNAQIMCwoJBwcOcA6/DgIOJgcEBwcWFhmsGDw7OygoJz06OikpJqwnGBcXBgYFJwIFCDyTBA4wMC8EgAUBcAUBBbgCOEAMQA1QDQKADQGwDQENuAL5ty8PIh8enkRFvAE8ACEAYQEZABgrK070PE39PPZdcXL9XXE8EDwQPBDkAD8/EDwQPBA8EP08EDwQPBA8EDwQPBD9PBA8EDwREjldLxIXORIXOQESFzmHDi4rfRDEhw4uGCt9EMQYABDtARDAKysQ7QEQwAAQ7QEQwCsrEO0BEMAxMAFyXXEAcXJDWEAJLzMtQS9CLUMEXVldK0NcWEAKNhgWDT8KIBQ5Mrj/4LYQOUAQDjkBuP/osg45ALj/4LIOOQG4/8CyEDkAuP/AsRA5ACsrKysrKwErK1kBcV0AcV0BARYWFxUhNTI2NTQmJwERFBcWFxYzMxUhNTMyNzY1ETQnJicmIyM1IRUjIgcGBhURNjcANzY1NCYjIzUhFQ4CBwYHAmQB9HuuV/17OjMTNf4sDQogKzAu/b4wVCYYDQofLDAwAkIuLywfGBR1ASk+GyoyHwHyLEhoTBa1AvD+D3tZBiUlJxgYJjQBz/5LZyEZEhglJTEgegNsZyIYEhglJRcQQGT+YRNsARBbKB4XIyUlARY/RhS5AAEAG//hB30FTAA5AqhAGQkGDQcMCAoJBwoKMAY5BxIOGBM5DBgTORu4/8CzCAk0G7j/gLMICTQcuP+AQP8ICTQ2CTUvSglZBFgJpwkGJgYrCCwLKAwoEygaKRsqKCcxNgY5GjQwRwZEB0sLSBtUBlgHWAhZClgMWBpYMFQxaQZkB2wLaBpoG2szdgR2BnYHdgp4C3sMexp4G30ceCB1L4UEjAiKHIgviDCJMZIHmQuTE5MYmRqYG5QolS+UMKgIqgmqC6oaqBupHKodpy+zB7MItwq4GrQwxzD5CPkL/B35IEpoL2UwaDGJCQQ4G2webx9uLQRlB2UIaAkDSwlMH0goSy8EWRtXL1EwA1AHUAhaCwMEBwAKAwsLHBYvKhwpHzEHOQsJCRwcCAkJChwcGx0eHggABgEbABMaFBtAFRMoLykbKBIMERsSJx4mGyc5MTgbObj/cLMbCwoguP9vQBQwCAcgDAsLIhsaFBsbGhwcHgkKCrgCyUAVGxwUGxscLx0ICCI</t>
  </si>
  <si>
    <t>Multiplica por 2</t>
  </si>
  <si>
    <t>Leona</t>
  </si>
  <si>
    <t>Femea</t>
  </si>
  <si>
    <t>RECEBE NÚMERO 1</t>
  </si>
  <si>
    <t>RECEBE NÚMERO 2</t>
  </si>
  <si>
    <t>SOMA</t>
  </si>
  <si>
    <t>PARA RODAR OS CODIGOS CLIQUE NAS IMAGENS</t>
  </si>
  <si>
    <t>BUSCAR</t>
  </si>
  <si>
    <t>Números</t>
  </si>
  <si>
    <t>Sabores de sorvete</t>
  </si>
  <si>
    <t>Morango</t>
  </si>
  <si>
    <t>Chocolate</t>
  </si>
  <si>
    <t>Creme</t>
  </si>
  <si>
    <t>Flocos</t>
  </si>
  <si>
    <t>Nutella</t>
  </si>
  <si>
    <t>Pessoas Cadastradas</t>
  </si>
  <si>
    <t>Porche</t>
  </si>
  <si>
    <t>Correia</t>
  </si>
  <si>
    <t>Pedro Wagner</t>
  </si>
  <si>
    <t>Gabas</t>
  </si>
  <si>
    <t>Lucas Andre</t>
  </si>
  <si>
    <t>Morguinus</t>
  </si>
  <si>
    <t>Lucca</t>
  </si>
  <si>
    <t>BUSCA</t>
  </si>
  <si>
    <t>Polo</t>
  </si>
  <si>
    <t>Up</t>
  </si>
  <si>
    <t>Civic</t>
  </si>
  <si>
    <t>Volkswagen</t>
  </si>
  <si>
    <t>Honda</t>
  </si>
  <si>
    <t>Porsche</t>
  </si>
  <si>
    <t>Toro</t>
  </si>
  <si>
    <t>FIAT</t>
  </si>
  <si>
    <t>Supra</t>
  </si>
  <si>
    <t>Toyota</t>
  </si>
  <si>
    <t>GTR R34</t>
  </si>
  <si>
    <t>Nissan</t>
  </si>
  <si>
    <t>GTR R35</t>
  </si>
  <si>
    <t>MARCA</t>
  </si>
  <si>
    <t>NOME</t>
  </si>
  <si>
    <t>BUSCA NOMES POR MARCA</t>
  </si>
  <si>
    <t>Nomes Encontrados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</si>
</sst>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Abadi Extra Light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000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0" borderId="1" xfId="0" applyBorder="1"/>
    <xf numFmtId="1" fontId="0" fillId="0" borderId="1" xfId="0" applyNumberFormat="1" applyBorder="1"/>
    <xf numFmtId="0" fontId="1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2" fillId="2" borderId="6" xfId="0" applyFont="1" applyFill="1" applyBorder="1"/>
    <xf numFmtId="0" fontId="2" fillId="2" borderId="0" xfId="0" applyFont="1" applyFill="1"/>
    <xf numFmtId="49" fontId="0" fillId="0" borderId="0" xfId="0" applyNumberFormat="1"/>
    <xf numFmtId="0" fontId="0" fillId="0" borderId="7" xfId="0" applyBorder="1"/>
    <xf numFmtId="0" fontId="1" fillId="2" borderId="0" xfId="0" applyFont="1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0" fillId="4" borderId="1" xfId="0" applyFill="1" applyBorder="1"/>
    <xf numFmtId="0" fontId="6" fillId="6" borderId="12" xfId="0" applyFont="1" applyFill="1" applyBorder="1"/>
    <xf numFmtId="0" fontId="0" fillId="7" borderId="0" xfId="0" applyFill="1"/>
    <xf numFmtId="0" fontId="1" fillId="7" borderId="0" xfId="0" applyFont="1" applyFill="1"/>
    <xf numFmtId="0" fontId="1" fillId="8" borderId="11" xfId="0" applyFont="1" applyFill="1" applyBorder="1"/>
    <xf numFmtId="0" fontId="1" fillId="8" borderId="0" xfId="0" applyFont="1" applyFill="1"/>
    <xf numFmtId="0" fontId="1" fillId="2" borderId="13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Aps">
        <xsd:complexType>
          <xsd:sequence minOccurs="0">
            <xsd:element minOccurs="0" nillable="true" name="Group" form="unqualified">
              <xsd:complexType>
                <xsd:sequence minOccurs="0">
                  <xsd:element minOccurs="0" nillable="true" name="Page" form="unqualified">
                    <xsd:complexType>
                      <xsd:sequence minOccurs="0">
                        <xsd:element minOccurs="0" nillable="true" name="Canvas" form="unqualified">
                          <xsd:complexType>
                            <xsd:sequence minOccurs="0">
                              <xsd:element minOccurs="0" nillable="true" name="Canvas" form="unqualified">
                                <xsd:complexType>
                                  <xsd:sequence minOccurs="0">
                                    <xsd:element minOccurs="0" nillable="true" name="Clip" form="unqualified">
                                      <xsd:complexType>
                                        <xsd:sequence minOccurs="0">
                                          <xsd:element minOccurs="0" nillable="true" name="Path" form="unqualified">
                                            <xsd:complexType>
                                              <xsd:sequence minOccurs="0">
                                                <xsd:element minOccurs="0" nillable="true" name="PathFigure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PolyLine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oint" form="unqualified">
                                                              <xsd:complexType>
                                                                <xsd:attribute name="X" form="unqualified" type="xsd:double"/>
                                                                <xsd:attribute name="Y" form="unqualified" type="xsd:double"/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LineColor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IsClosed" form="unqualified" type="xsd:string"/>
                                                  </xsd:complexType>
                                                </xsd:element>
                                              </xsd:sequence>
                                              <xsd:attribute name="FillMode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anvas" form="unqualified">
                                      <xsd:complexType>
                                        <xsd:sequence minOccurs="0">
                                          <xsd:element minOccurs="0" nillable="true" name="Clip" form="unqualified">
                                            <xsd:complexType>
                                              <xsd:sequence minOccurs="0">
                                                <xsd:element minOccurs="0" nillable="true" name="Path" form="unqualified">
                                                  <xsd:complexType>
                                                    <xsd:sequence minOccurs="0">
                                                      <xsd:element minOccurs="0" nillable="true" name="PathFigure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olyLin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maxOccurs="unbounded" nillable="true" name="Point" form="unqualified">
                                                                    <xsd:complexType>
                                                                      <xsd:attribute name="X" form="unqualified" type="xsd:double"/>
                                                                      <xsd:attribute name="Y" form="unqualified" type="xsd:double"/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  <xsd:attribute name="LineColor" form="unqualified" type="xsd:string"/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  <xsd:attribute name="IsClosed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  <xsd:attribute name="FillMode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Glyphs" form="unqualified">
                                            <xsd:complexType>
                                              <xsd:sequence minOccurs="0">
                                                <xsd:element minOccurs="0" nillable="true" name="Font" form="unqualified">
                                                  <xsd:complexType>
                                                    <xsd:attribute name="SizePoints" form="unqualified" type="xsd:integer"/>
                                                    <xsd:attribute name="Style" form="unqualified" type="xsd:string"/>
                                                    <xsd:attribute name="FamilyName" form="unqualified" type="xsd:string"/>
                                                    <xsd:attribute name="Capitals" form="unqualified" type="xsd:string"/>
                                                    <xsd:attribute name="ResourceId" form="unqualified" type="xsd:integer"/>
                                                  </xsd:complexType>
                                                </xsd:element>
                                                <xsd:element minOccurs="0" nillable="true" name="Origin" form="unqualified">
                                                  <xsd:complexType>
                                                    <xsd:attribute name="X" form="unqualified" type="xsd:integer"/>
                                                    <xsd:attribute name="Y" form="unqualified" type="xsd:integer"/>
                                                  </xsd:complexType>
                                                </xsd:element>
                                                <xsd:element minOccurs="0" nillable="true" type="xsd:string" name="Text" form="unqualified"/>
                                                <xsd:element minOccurs="0" nillable="true" name="Size" form="unqualified">
                                                  <xsd:complexType>
                                                    <xsd:attribute name="Width" form="unqualified" type="xsd:double"/>
                                                    <xsd:attribute name="Height" form="unqualified" type="xsd:double"/>
                                                  </xsd:complexType>
                                                </xsd:element>
                                                <xsd:element minOccurs="0" nillable="true" name="Brush" form="unqualified">
                                                  <xsd:complexType>
                                                    <xsd:sequence minOccurs="0">
                                                      <xsd:element minOccurs="0" nillable="true" name="SolidBrush" form="unqualified">
                                                        <xsd:complexType>
                                                          <xsd:attribute name="Color" form="unqualified" type="xsd:string"/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Tag" form="unqualified"/>
                                              </xsd:sequence>
                                              <xsd:attribute name="OutlineWidth" form="unqualified" type="xsd:double"/>
                                              <xsd:attribute name="CharSpace" form="unqualified" type="xsd:integer"/>
                                              <xsd:attribute name="RenderTransform" form="unqualified" type="xsd:string"/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Width" form="unqualified" type="xsd:integer"/>
                      <xsd:attribute name="Height" form="unqualified" type="xsd:integer"/>
                      <xsd:attribute name="PaperTray" form="unqualified" type="xsd:integer"/>
                    </xsd:complexType>
                  </xsd:element>
                </xsd:sequence>
              </xsd:complexType>
            </xsd:element>
            <xsd:element minOccurs="0" nillable="true" name="Resources" form="unqualified">
              <xsd:complexType>
                <xsd:sequence minOccurs="0">
                  <xsd:element minOccurs="0" maxOccurs="unbounded" nillable="true" name="Resource" form="unqualified">
                    <xsd:complexType>
                      <xsd:simpleContent>
                        <xsd:extension base="xsd:string">
                          <xsd:attribute name="Id" form="unqualified" type="xsd:integer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Aps_Mapa" RootElement="Ap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6</xdr:row>
          <xdr:rowOff>171450</xdr:rowOff>
        </xdr:from>
        <xdr:to>
          <xdr:col>4</xdr:col>
          <xdr:colOff>285750</xdr:colOff>
          <xdr:row>9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ADICIONA PROXIMO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38100</xdr:rowOff>
        </xdr:from>
        <xdr:to>
          <xdr:col>8</xdr:col>
          <xdr:colOff>495300</xdr:colOff>
          <xdr:row>9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COLUNA A_B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4</xdr:col>
          <xdr:colOff>0</xdr:colOff>
          <xdr:row>9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badi Extra Light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</xdr:row>
          <xdr:rowOff>152400</xdr:rowOff>
        </xdr:from>
        <xdr:to>
          <xdr:col>14</xdr:col>
          <xdr:colOff>533400</xdr:colOff>
          <xdr:row>8</xdr:row>
          <xdr:rowOff>57150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8</xdr:row>
          <xdr:rowOff>104775</xdr:rowOff>
        </xdr:from>
        <xdr:to>
          <xdr:col>14</xdr:col>
          <xdr:colOff>542925</xdr:colOff>
          <xdr:row>11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2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66675</xdr:rowOff>
        </xdr:from>
        <xdr:to>
          <xdr:col>2</xdr:col>
          <xdr:colOff>9525</xdr:colOff>
          <xdr:row>8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SOMAR ISNUMERIC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114300</xdr:rowOff>
        </xdr:from>
        <xdr:to>
          <xdr:col>1</xdr:col>
          <xdr:colOff>2114550</xdr:colOff>
          <xdr:row>11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SOMAR VARTYPE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171450</xdr:rowOff>
        </xdr:from>
        <xdr:to>
          <xdr:col>2</xdr:col>
          <xdr:colOff>0</xdr:colOff>
          <xdr:row>14</xdr:row>
          <xdr:rowOff>133350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28575</xdr:rowOff>
        </xdr:from>
        <xdr:to>
          <xdr:col>2</xdr:col>
          <xdr:colOff>0</xdr:colOff>
          <xdr:row>17</xdr:row>
          <xdr:rowOff>180975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SOMAR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123825</xdr:rowOff>
    </xdr:from>
    <xdr:to>
      <xdr:col>0</xdr:col>
      <xdr:colOff>8353425</xdr:colOff>
      <xdr:row>14</xdr:row>
      <xdr:rowOff>122287</xdr:rowOff>
    </xdr:to>
    <xdr:pic macro="[0]!verificaMedia"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314325"/>
          <a:ext cx="8239125" cy="2474962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133350</xdr:colOff>
      <xdr:row>15</xdr:row>
      <xdr:rowOff>102655</xdr:rowOff>
    </xdr:from>
    <xdr:to>
      <xdr:col>0</xdr:col>
      <xdr:colOff>4410074</xdr:colOff>
      <xdr:row>29</xdr:row>
      <xdr:rowOff>38458</xdr:rowOff>
    </xdr:to>
    <xdr:pic macro="[0]!teste_do"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960155"/>
          <a:ext cx="4276724" cy="2602803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4581525</xdr:colOff>
      <xdr:row>15</xdr:row>
      <xdr:rowOff>161925</xdr:rowOff>
    </xdr:from>
    <xdr:to>
      <xdr:col>0</xdr:col>
      <xdr:colOff>8353872</xdr:colOff>
      <xdr:row>25</xdr:row>
      <xdr:rowOff>9770</xdr:rowOff>
    </xdr:to>
    <xdr:pic macro="[0]!teste_while"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3019425"/>
          <a:ext cx="3772347" cy="1752845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4638675</xdr:colOff>
      <xdr:row>26</xdr:row>
      <xdr:rowOff>57150</xdr:rowOff>
    </xdr:from>
    <xdr:to>
      <xdr:col>0</xdr:col>
      <xdr:colOff>7439416</xdr:colOff>
      <xdr:row>35</xdr:row>
      <xdr:rowOff>47863</xdr:rowOff>
    </xdr:to>
    <xdr:pic macro="[0]!teste_for">
      <xdr:nvPicPr>
        <xdr:cNvPr id="5" name="Imagem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5" y="5010150"/>
          <a:ext cx="2800741" cy="1705213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8</xdr:row>
          <xdr:rowOff>9525</xdr:rowOff>
        </xdr:from>
        <xdr:to>
          <xdr:col>4</xdr:col>
          <xdr:colOff>114300</xdr:colOff>
          <xdr:row>9</xdr:row>
          <xdr:rowOff>180975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602092</xdr:colOff>
      <xdr:row>1</xdr:row>
      <xdr:rowOff>28575</xdr:rowOff>
    </xdr:from>
    <xdr:to>
      <xdr:col>19</xdr:col>
      <xdr:colOff>276225</xdr:colOff>
      <xdr:row>19</xdr:row>
      <xdr:rowOff>185008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9667" y="219075"/>
          <a:ext cx="8208533" cy="35854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3</xdr:row>
          <xdr:rowOff>180975</xdr:rowOff>
        </xdr:from>
        <xdr:to>
          <xdr:col>3</xdr:col>
          <xdr:colOff>304800</xdr:colOff>
          <xdr:row>6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0</xdr:colOff>
      <xdr:row>0</xdr:row>
      <xdr:rowOff>180975</xdr:rowOff>
    </xdr:from>
    <xdr:to>
      <xdr:col>13</xdr:col>
      <xdr:colOff>428625</xdr:colOff>
      <xdr:row>19</xdr:row>
      <xdr:rowOff>47625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8075" y="180975"/>
          <a:ext cx="5915025" cy="34861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600075</xdr:colOff>
      <xdr:row>0</xdr:row>
      <xdr:rowOff>152400</xdr:rowOff>
    </xdr:from>
    <xdr:to>
      <xdr:col>10</xdr:col>
      <xdr:colOff>572092</xdr:colOff>
      <xdr:row>22</xdr:row>
      <xdr:rowOff>133932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152400"/>
          <a:ext cx="4239217" cy="417253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5</xdr:row>
          <xdr:rowOff>0</xdr:rowOff>
        </xdr:from>
        <xdr:to>
          <xdr:col>2</xdr:col>
          <xdr:colOff>200025</xdr:colOff>
          <xdr:row>7</xdr:row>
          <xdr:rowOff>19050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9525</xdr:colOff>
      <xdr:row>2</xdr:row>
      <xdr:rowOff>123825</xdr:rowOff>
    </xdr:from>
    <xdr:to>
      <xdr:col>18</xdr:col>
      <xdr:colOff>10801</xdr:colOff>
      <xdr:row>22</xdr:row>
      <xdr:rowOff>38716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8325" y="504825"/>
          <a:ext cx="9145276" cy="372489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3</xdr:col>
          <xdr:colOff>1819275</xdr:colOff>
          <xdr:row>6</xdr:row>
          <xdr:rowOff>9525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 E COPIA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28575</xdr:colOff>
      <xdr:row>1</xdr:row>
      <xdr:rowOff>19050</xdr:rowOff>
    </xdr:from>
    <xdr:to>
      <xdr:col>14</xdr:col>
      <xdr:colOff>57750</xdr:colOff>
      <xdr:row>17</xdr:row>
      <xdr:rowOff>86160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3175" y="209550"/>
          <a:ext cx="4296375" cy="311511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A901A8-AD66-4BB4-9AC4-6EBC4BCBE796}" name="Tabela1" displayName="Tabela1" ref="A1:AD185" tableType="xml" totalsRowShown="0" connectionId="1">
  <autoFilter ref="A1:AD185" xr:uid="{83A901A8-AD66-4BB4-9AC4-6EBC4BCBE796}"/>
  <tableColumns count="30">
    <tableColumn id="1" xr3:uid="{129F1533-F5A5-4A46-ACE8-E073FE1C3369}" uniqueName="Width" name="Width">
      <xmlColumnPr mapId="1" xpath="/Aps/Group/Page/@Width" xmlDataType="integer"/>
    </tableColumn>
    <tableColumn id="2" xr3:uid="{4BC70D6C-10EE-42A2-A84D-FF9F42B3A5A1}" uniqueName="Height" name="Height">
      <xmlColumnPr mapId="1" xpath="/Aps/Group/Page/@Height" xmlDataType="integer"/>
    </tableColumn>
    <tableColumn id="3" xr3:uid="{876B3110-4587-4D5D-AD88-D6284A7C288D}" uniqueName="PaperTray" name="PaperTray">
      <xmlColumnPr mapId="1" xpath="/Aps/Group/Page/@PaperTray" xmlDataType="integer"/>
    </tableColumn>
    <tableColumn id="4" xr3:uid="{C3806C7C-554F-4CFC-8395-0DB2829A95AD}" uniqueName="FillMode" name="FillMode">
      <xmlColumnPr mapId="1" xpath="/Aps/Group/Page/Canvas/Canvas/Clip/Path/@FillMode" xmlDataType="string"/>
    </tableColumn>
    <tableColumn id="5" xr3:uid="{3B4F3EAC-6B0B-437B-9E96-3197746CBBE1}" uniqueName="IsClosed" name="IsClosed">
      <xmlColumnPr mapId="1" xpath="/Aps/Group/Page/Canvas/Canvas/Clip/Path/PathFigure/@IsClosed" xmlDataType="string"/>
    </tableColumn>
    <tableColumn id="6" xr3:uid="{EB0603E9-87EC-4979-9875-7BE3138AB9B9}" uniqueName="LineColor" name="LineColor">
      <xmlColumnPr mapId="1" xpath="/Aps/Group/Page/Canvas/Canvas/Clip/Path/PathFigure/PolyLine/@LineColor" xmlDataType="string"/>
    </tableColumn>
    <tableColumn id="7" xr3:uid="{B57EBA80-3806-486F-B611-A75380D38AF9}" uniqueName="X" name="X">
      <xmlColumnPr mapId="1" xpath="/Aps/Group/Page/Canvas/Canvas/Clip/Path/PathFigure/PolyLine/Point/@X" xmlDataType="double"/>
    </tableColumn>
    <tableColumn id="8" xr3:uid="{A2636DBA-4A55-4E8E-B16F-C505F385C421}" uniqueName="Y" name="Y">
      <xmlColumnPr mapId="1" xpath="/Aps/Group/Page/Canvas/Canvas/Clip/Path/PathFigure/PolyLine/Point/@Y" xmlDataType="double"/>
    </tableColumn>
    <tableColumn id="9" xr3:uid="{9E26FCFA-94D7-4471-9DE7-CB04A9223CA0}" uniqueName="FillMode" name="FillMode2">
      <xmlColumnPr mapId="1" xpath="/Aps/Group/Page/Canvas/Canvas/Canvas/Clip/Path/@FillMode" xmlDataType="string"/>
    </tableColumn>
    <tableColumn id="10" xr3:uid="{FD65EA8A-DAB9-4D99-A5B3-4BFF4158923C}" uniqueName="IsClosed" name="IsClosed3">
      <xmlColumnPr mapId="1" xpath="/Aps/Group/Page/Canvas/Canvas/Canvas/Clip/Path/PathFigure/@IsClosed" xmlDataType="string"/>
    </tableColumn>
    <tableColumn id="11" xr3:uid="{454D22DA-3F71-4B02-8B72-199CD1B57596}" uniqueName="LineColor" name="LineColor4">
      <xmlColumnPr mapId="1" xpath="/Aps/Group/Page/Canvas/Canvas/Canvas/Clip/Path/PathFigure/PolyLine/@LineColor" xmlDataType="string"/>
    </tableColumn>
    <tableColumn id="12" xr3:uid="{FFDA349F-18BA-4EA7-9C68-1CB2E991F3F7}" uniqueName="X" name="X5">
      <xmlColumnPr mapId="1" xpath="/Aps/Group/Page/Canvas/Canvas/Canvas/Clip/Path/PathFigure/PolyLine/Point/@X" xmlDataType="double"/>
    </tableColumn>
    <tableColumn id="13" xr3:uid="{138A5F8E-45EC-4B04-974E-C1CE784E3EC2}" uniqueName="Y" name="Y6">
      <xmlColumnPr mapId="1" xpath="/Aps/Group/Page/Canvas/Canvas/Canvas/Clip/Path/PathFigure/PolyLine/Point/@Y" xmlDataType="double"/>
    </tableColumn>
    <tableColumn id="14" xr3:uid="{FEA97960-7068-47EF-A52C-2652E2A17D8E}" uniqueName="OutlineWidth" name="OutlineWidth">
      <xmlColumnPr mapId="1" xpath="/Aps/Group/Page/Canvas/Canvas/Canvas/Glyphs/@OutlineWidth" xmlDataType="double"/>
    </tableColumn>
    <tableColumn id="15" xr3:uid="{456E5707-938C-44EB-AE7F-6732E1B54481}" uniqueName="CharSpace" name="CharSpace">
      <xmlColumnPr mapId="1" xpath="/Aps/Group/Page/Canvas/Canvas/Canvas/Glyphs/@CharSpace" xmlDataType="integer"/>
    </tableColumn>
    <tableColumn id="16" xr3:uid="{DCADFB15-3697-4CA5-B26A-6E77191DD44D}" uniqueName="RenderTransform" name="RenderTransform">
      <xmlColumnPr mapId="1" xpath="/Aps/Group/Page/Canvas/Canvas/Canvas/Glyphs/@RenderTransform" xmlDataType="string"/>
    </tableColumn>
    <tableColumn id="17" xr3:uid="{A9DE8A02-10CD-4332-8954-BCE3DF3916CD}" uniqueName="SizePoints" name="SizePoints">
      <xmlColumnPr mapId="1" xpath="/Aps/Group/Page/Canvas/Canvas/Canvas/Glyphs/Font/@SizePoints" xmlDataType="integer"/>
    </tableColumn>
    <tableColumn id="18" xr3:uid="{490A61FE-D4BC-4DC8-885D-AEE02E0CFC3E}" uniqueName="Style" name="Style">
      <xmlColumnPr mapId="1" xpath="/Aps/Group/Page/Canvas/Canvas/Canvas/Glyphs/Font/@Style" xmlDataType="string"/>
    </tableColumn>
    <tableColumn id="19" xr3:uid="{082477A8-0358-4977-9440-9F812AF9CA33}" uniqueName="FamilyName" name="FamilyName">
      <xmlColumnPr mapId="1" xpath="/Aps/Group/Page/Canvas/Canvas/Canvas/Glyphs/Font/@FamilyName" xmlDataType="string"/>
    </tableColumn>
    <tableColumn id="20" xr3:uid="{8D2FBD35-0DCE-43FA-804C-788BA7FDB8E2}" uniqueName="Capitals" name="Capitals">
      <xmlColumnPr mapId="1" xpath="/Aps/Group/Page/Canvas/Canvas/Canvas/Glyphs/Font/@Capitals" xmlDataType="string"/>
    </tableColumn>
    <tableColumn id="21" xr3:uid="{FB4BE713-F7B3-422F-ACAD-D4D8A227E505}" uniqueName="ResourceId" name="ResourceId">
      <xmlColumnPr mapId="1" xpath="/Aps/Group/Page/Canvas/Canvas/Canvas/Glyphs/Font/@ResourceId" xmlDataType="integer"/>
    </tableColumn>
    <tableColumn id="22" xr3:uid="{D05A1A27-3794-4DF5-920F-C8F349763EAB}" uniqueName="X" name="X7">
      <xmlColumnPr mapId="1" xpath="/Aps/Group/Page/Canvas/Canvas/Canvas/Glyphs/Origin/@X" xmlDataType="integer"/>
    </tableColumn>
    <tableColumn id="23" xr3:uid="{4D18EE64-39B1-4261-9D4B-4A59EE21B8FD}" uniqueName="Y" name="Y8">
      <xmlColumnPr mapId="1" xpath="/Aps/Group/Page/Canvas/Canvas/Canvas/Glyphs/Origin/@Y" xmlDataType="integer"/>
    </tableColumn>
    <tableColumn id="24" xr3:uid="{FB2B6D4F-1356-46EB-A8F9-1F636E876958}" uniqueName="Text" name="Text">
      <xmlColumnPr mapId="1" xpath="/Aps/Group/Page/Canvas/Canvas/Canvas/Glyphs/Text" xmlDataType="string"/>
    </tableColumn>
    <tableColumn id="25" xr3:uid="{7BAC0B15-38C4-4B56-8B2E-33ECAF7D9773}" uniqueName="Width" name="Width9">
      <xmlColumnPr mapId="1" xpath="/Aps/Group/Page/Canvas/Canvas/Canvas/Glyphs/Size/@Width" xmlDataType="double"/>
    </tableColumn>
    <tableColumn id="26" xr3:uid="{BE57859C-FBCA-413A-BB14-7C17E3CFF88E}" uniqueName="Height" name="Height10">
      <xmlColumnPr mapId="1" xpath="/Aps/Group/Page/Canvas/Canvas/Canvas/Glyphs/Size/@Height" xmlDataType="double"/>
    </tableColumn>
    <tableColumn id="27" xr3:uid="{E3A3A30E-A27C-4B10-B313-E38E11655A00}" uniqueName="Color" name="Color">
      <xmlColumnPr mapId="1" xpath="/Aps/Group/Page/Canvas/Canvas/Canvas/Glyphs/Brush/SolidBrush/@Color" xmlDataType="string"/>
    </tableColumn>
    <tableColumn id="28" xr3:uid="{4408BE0D-28A4-4C68-9894-14A11664C7B6}" uniqueName="Tag" name="Tag">
      <xmlColumnPr mapId="1" xpath="/Aps/Group/Page/Canvas/Canvas/Canvas/Glyphs/Tag" xmlDataType="string"/>
    </tableColumn>
    <tableColumn id="29" xr3:uid="{AF54D628-AFBD-4C7B-9B17-657368EAADB1}" uniqueName="Resource" name="Resource">
      <xmlColumnPr mapId="1" xpath="/Aps/Resources/Resource" xmlDataType="string"/>
    </tableColumn>
    <tableColumn id="30" xr3:uid="{BF016C83-35DD-4111-ADB6-2DCB004E9C8F}" uniqueName="Id" name="Id">
      <xmlColumnPr mapId="1" xpath="/Aps/Resources/Resource/@Id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1EF9A-53F3-47E1-8563-A882BFA67A30}">
  <sheetPr codeName="Planilha1"/>
  <dimension ref="A1:G27"/>
  <sheetViews>
    <sheetView zoomScaleNormal="100" workbookViewId="0">
      <selection activeCell="D3" sqref="D3"/>
    </sheetView>
  </sheetViews>
  <sheetFormatPr defaultRowHeight="15" x14ac:dyDescent="0.25"/>
  <cols>
    <col min="1" max="1" width="11.42578125" customWidth="1"/>
    <col min="4" max="4" width="11.85546875" customWidth="1"/>
  </cols>
  <sheetData>
    <row r="1" spans="1:4" x14ac:dyDescent="0.25">
      <c r="A1" s="5" t="s">
        <v>0</v>
      </c>
    </row>
    <row r="2" spans="1:4" x14ac:dyDescent="0.25">
      <c r="A2" s="3">
        <v>1</v>
      </c>
      <c r="D2" s="1" t="s">
        <v>1</v>
      </c>
    </row>
    <row r="3" spans="1:4" x14ac:dyDescent="0.25">
      <c r="A3" s="3">
        <v>2</v>
      </c>
      <c r="D3" s="3"/>
    </row>
    <row r="4" spans="1:4" x14ac:dyDescent="0.25">
      <c r="A4" s="3">
        <v>3</v>
      </c>
    </row>
    <row r="5" spans="1:4" x14ac:dyDescent="0.25">
      <c r="A5" s="3">
        <v>8</v>
      </c>
    </row>
    <row r="6" spans="1:4" x14ac:dyDescent="0.25">
      <c r="A6" s="3">
        <v>5</v>
      </c>
    </row>
    <row r="7" spans="1:4" x14ac:dyDescent="0.25">
      <c r="A7" s="3">
        <v>6</v>
      </c>
    </row>
    <row r="8" spans="1:4" x14ac:dyDescent="0.25">
      <c r="A8" s="4">
        <v>7</v>
      </c>
    </row>
    <row r="9" spans="1:4" x14ac:dyDescent="0.25">
      <c r="A9" s="3">
        <v>8</v>
      </c>
    </row>
    <row r="10" spans="1:4" x14ac:dyDescent="0.25">
      <c r="A10" s="3">
        <v>9</v>
      </c>
    </row>
    <row r="11" spans="1:4" x14ac:dyDescent="0.25">
      <c r="A11" s="3">
        <v>10</v>
      </c>
    </row>
    <row r="12" spans="1:4" x14ac:dyDescent="0.25">
      <c r="A12" s="3">
        <v>11</v>
      </c>
    </row>
    <row r="13" spans="1:4" x14ac:dyDescent="0.25">
      <c r="A13" s="3">
        <v>12</v>
      </c>
    </row>
    <row r="14" spans="1:4" x14ac:dyDescent="0.25">
      <c r="A14" s="3">
        <v>13</v>
      </c>
    </row>
    <row r="15" spans="1:4" x14ac:dyDescent="0.25">
      <c r="A15" s="3">
        <v>14</v>
      </c>
    </row>
    <row r="16" spans="1:4" x14ac:dyDescent="0.25">
      <c r="A16" s="3">
        <v>15</v>
      </c>
    </row>
    <row r="17" spans="1:7" x14ac:dyDescent="0.25">
      <c r="A17" s="3">
        <v>16</v>
      </c>
    </row>
    <row r="18" spans="1:7" x14ac:dyDescent="0.25">
      <c r="A18" s="3">
        <v>17</v>
      </c>
    </row>
    <row r="19" spans="1:7" x14ac:dyDescent="0.25">
      <c r="A19" s="3">
        <v>18</v>
      </c>
    </row>
    <row r="20" spans="1:7" x14ac:dyDescent="0.25">
      <c r="A20" s="3">
        <v>19</v>
      </c>
    </row>
    <row r="21" spans="1:7" x14ac:dyDescent="0.25">
      <c r="A21" s="3">
        <v>20</v>
      </c>
    </row>
    <row r="22" spans="1:7" x14ac:dyDescent="0.25">
      <c r="A22" s="3"/>
    </row>
    <row r="23" spans="1:7" x14ac:dyDescent="0.25">
      <c r="A23" s="3"/>
    </row>
    <row r="24" spans="1:7" x14ac:dyDescent="0.25">
      <c r="A24" s="3"/>
    </row>
    <row r="25" spans="1:7" x14ac:dyDescent="0.25">
      <c r="A25" s="3"/>
    </row>
    <row r="27" spans="1:7" x14ac:dyDescent="0.25">
      <c r="G27" t="s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tador_addProximo2">
                <anchor moveWithCells="1">
                  <from>
                    <xdr:col>2</xdr:col>
                    <xdr:colOff>438150</xdr:colOff>
                    <xdr:row>6</xdr:row>
                    <xdr:rowOff>171450</xdr:rowOff>
                  </from>
                  <to>
                    <xdr:col>4</xdr:col>
                    <xdr:colOff>285750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C084D-D850-44C3-9E0A-23C89D67662C}">
  <sheetPr codeName="Planilha4"/>
  <dimension ref="A1:AD185"/>
  <sheetViews>
    <sheetView workbookViewId="0">
      <selection sqref="A1:B1048576"/>
    </sheetView>
  </sheetViews>
  <sheetFormatPr defaultRowHeight="15" x14ac:dyDescent="0.25"/>
  <cols>
    <col min="3" max="3" width="13.28515625" customWidth="1"/>
    <col min="4" max="4" width="12" customWidth="1"/>
    <col min="5" max="5" width="11.7109375" customWidth="1"/>
    <col min="6" max="6" width="12" customWidth="1"/>
    <col min="10" max="10" width="12" customWidth="1"/>
    <col min="11" max="11" width="14.5703125" customWidth="1"/>
    <col min="12" max="12" width="9.140625" bestFit="1" customWidth="1"/>
    <col min="13" max="13" width="12.140625" bestFit="1" customWidth="1"/>
    <col min="14" max="14" width="19.42578125" customWidth="1"/>
    <col min="15" max="15" width="14.5703125" customWidth="1"/>
    <col min="16" max="16" width="29.42578125" customWidth="1"/>
    <col min="17" max="17" width="12.42578125" customWidth="1"/>
    <col min="18" max="18" width="11.7109375" bestFit="1" customWidth="1"/>
    <col min="19" max="19" width="16.7109375" customWidth="1"/>
    <col min="20" max="20" width="11.7109375" bestFit="1" customWidth="1"/>
    <col min="21" max="21" width="12.7109375" bestFit="1" customWidth="1"/>
    <col min="22" max="22" width="8" bestFit="1" customWidth="1"/>
    <col min="23" max="23" width="11.7109375" bestFit="1" customWidth="1"/>
    <col min="24" max="24" width="15.7109375" bestFit="1" customWidth="1"/>
    <col min="25" max="25" width="12.42578125" bestFit="1" customWidth="1"/>
    <col min="26" max="26" width="14.5703125" customWidth="1"/>
    <col min="27" max="27" width="12.42578125" bestFit="1" customWidth="1"/>
    <col min="28" max="28" width="17.140625" customWidth="1"/>
    <col min="29" max="29" width="18.42578125" customWidth="1"/>
    <col min="30" max="30" width="10.28515625" bestFit="1" customWidth="1"/>
    <col min="31" max="31" width="13.140625" bestFit="1" customWidth="1"/>
    <col min="32" max="33" width="5.42578125" bestFit="1" customWidth="1"/>
    <col min="34" max="34" width="38.5703125" bestFit="1" customWidth="1"/>
    <col min="35" max="35" width="10" bestFit="1" customWidth="1"/>
    <col min="36" max="36" width="11.140625" bestFit="1" customWidth="1"/>
    <col min="37" max="37" width="10" bestFit="1" customWidth="1"/>
    <col min="38" max="38" width="14.140625" bestFit="1" customWidth="1"/>
    <col min="39" max="39" width="81.140625" bestFit="1" customWidth="1"/>
    <col min="40" max="40" width="5" bestFit="1" customWidth="1"/>
  </cols>
  <sheetData>
    <row r="1" spans="1:30" x14ac:dyDescent="0.25">
      <c r="A1" t="s">
        <v>23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49</v>
      </c>
      <c r="W1" t="s">
        <v>50</v>
      </c>
      <c r="X1" t="s">
        <v>39</v>
      </c>
      <c r="Y1" t="s">
        <v>51</v>
      </c>
      <c r="Z1" t="s">
        <v>52</v>
      </c>
      <c r="AA1" t="s">
        <v>40</v>
      </c>
      <c r="AB1" t="s">
        <v>41</v>
      </c>
      <c r="AC1" t="s">
        <v>42</v>
      </c>
      <c r="AD1" t="s">
        <v>43</v>
      </c>
    </row>
    <row r="2" spans="1:30" x14ac:dyDescent="0.25">
      <c r="C2">
        <v>0</v>
      </c>
      <c r="D2" s="12" t="s">
        <v>53</v>
      </c>
      <c r="E2" s="12" t="s">
        <v>54</v>
      </c>
      <c r="F2" s="12" t="s">
        <v>55</v>
      </c>
      <c r="G2">
        <v>0</v>
      </c>
      <c r="H2">
        <v>841</v>
      </c>
      <c r="I2" s="12"/>
      <c r="J2" s="12"/>
      <c r="K2" s="12"/>
      <c r="P2" s="12"/>
      <c r="R2" s="12"/>
      <c r="S2" s="12"/>
      <c r="T2" s="12"/>
      <c r="X2" s="12"/>
      <c r="AA2" s="12"/>
      <c r="AB2" s="12"/>
      <c r="AC2" s="12"/>
    </row>
    <row r="3" spans="1:30" x14ac:dyDescent="0.25">
      <c r="A3">
        <v>595</v>
      </c>
      <c r="B3">
        <v>841</v>
      </c>
      <c r="C3">
        <v>0</v>
      </c>
      <c r="D3" s="12" t="s">
        <v>53</v>
      </c>
      <c r="E3" s="12" t="s">
        <v>54</v>
      </c>
      <c r="F3" s="12" t="s">
        <v>55</v>
      </c>
      <c r="G3">
        <v>0</v>
      </c>
      <c r="H3">
        <v>-0.89001465000000002</v>
      </c>
      <c r="I3" s="12"/>
      <c r="J3" s="12"/>
      <c r="K3" s="12"/>
      <c r="P3" s="12"/>
      <c r="R3" s="12"/>
      <c r="S3" s="12"/>
      <c r="T3" s="12"/>
      <c r="X3" s="12"/>
      <c r="AA3" s="12"/>
      <c r="AB3" s="12"/>
      <c r="AC3" s="12"/>
    </row>
    <row r="4" spans="1:30" x14ac:dyDescent="0.25">
      <c r="A4">
        <v>595</v>
      </c>
      <c r="B4">
        <v>841</v>
      </c>
      <c r="C4">
        <v>0</v>
      </c>
      <c r="D4" s="12" t="s">
        <v>53</v>
      </c>
      <c r="E4" s="12" t="s">
        <v>54</v>
      </c>
      <c r="F4" s="12" t="s">
        <v>55</v>
      </c>
      <c r="G4">
        <v>0</v>
      </c>
      <c r="H4">
        <v>-0.89001465000000002</v>
      </c>
      <c r="I4" s="12"/>
      <c r="J4" s="12"/>
      <c r="K4" s="12"/>
      <c r="P4" s="12"/>
      <c r="R4" s="12"/>
      <c r="S4" s="12"/>
      <c r="T4" s="12"/>
      <c r="X4" s="12"/>
      <c r="AA4" s="12"/>
      <c r="AB4" s="12"/>
      <c r="AC4" s="12"/>
    </row>
    <row r="5" spans="1:30" x14ac:dyDescent="0.25">
      <c r="A5">
        <v>595</v>
      </c>
      <c r="B5">
        <v>841</v>
      </c>
      <c r="C5">
        <v>0</v>
      </c>
      <c r="D5" s="12" t="s">
        <v>53</v>
      </c>
      <c r="E5" s="12" t="s">
        <v>54</v>
      </c>
      <c r="F5" s="12" t="s">
        <v>55</v>
      </c>
      <c r="G5">
        <v>595.27599999999995</v>
      </c>
      <c r="H5">
        <v>-0.89001465000000002</v>
      </c>
      <c r="I5" s="12"/>
      <c r="J5" s="12"/>
      <c r="K5" s="12"/>
      <c r="P5" s="12"/>
      <c r="R5" s="12"/>
      <c r="S5" s="12"/>
      <c r="T5" s="12"/>
      <c r="X5" s="12"/>
      <c r="AA5" s="12"/>
      <c r="AB5" s="12"/>
      <c r="AC5" s="12"/>
    </row>
    <row r="6" spans="1:30" x14ac:dyDescent="0.25">
      <c r="A6">
        <v>595</v>
      </c>
      <c r="B6">
        <v>841</v>
      </c>
      <c r="C6">
        <v>0</v>
      </c>
      <c r="D6" s="12" t="s">
        <v>53</v>
      </c>
      <c r="E6" s="12" t="s">
        <v>54</v>
      </c>
      <c r="F6" s="12" t="s">
        <v>55</v>
      </c>
      <c r="G6">
        <v>595.27599999999995</v>
      </c>
      <c r="H6">
        <v>-0.89001465000000002</v>
      </c>
      <c r="I6" s="12"/>
      <c r="J6" s="12"/>
      <c r="K6" s="12"/>
      <c r="P6" s="12"/>
      <c r="R6" s="12"/>
      <c r="S6" s="12"/>
      <c r="T6" s="12"/>
      <c r="X6" s="12"/>
      <c r="AA6" s="12"/>
      <c r="AB6" s="12"/>
      <c r="AC6" s="12"/>
    </row>
    <row r="7" spans="1:30" x14ac:dyDescent="0.25">
      <c r="A7">
        <v>595</v>
      </c>
      <c r="B7">
        <v>841</v>
      </c>
      <c r="C7">
        <v>0</v>
      </c>
      <c r="D7" s="12" t="s">
        <v>53</v>
      </c>
      <c r="E7" s="12" t="s">
        <v>54</v>
      </c>
      <c r="F7" s="12" t="s">
        <v>55</v>
      </c>
      <c r="G7">
        <v>595.27599999999995</v>
      </c>
      <c r="H7">
        <v>841</v>
      </c>
      <c r="I7" s="12"/>
      <c r="J7" s="12"/>
      <c r="K7" s="12"/>
      <c r="P7" s="12"/>
      <c r="R7" s="12"/>
      <c r="S7" s="12"/>
      <c r="T7" s="12"/>
      <c r="X7" s="12"/>
      <c r="AA7" s="12"/>
      <c r="AB7" s="12"/>
      <c r="AC7" s="12"/>
    </row>
    <row r="8" spans="1:30" x14ac:dyDescent="0.25">
      <c r="A8">
        <v>595</v>
      </c>
      <c r="B8">
        <v>841</v>
      </c>
      <c r="C8">
        <v>0</v>
      </c>
      <c r="D8" s="12" t="s">
        <v>53</v>
      </c>
      <c r="E8" s="12" t="s">
        <v>54</v>
      </c>
      <c r="F8" s="12" t="s">
        <v>55</v>
      </c>
      <c r="G8">
        <v>595.27599999999995</v>
      </c>
      <c r="H8">
        <v>841</v>
      </c>
      <c r="I8" s="12"/>
      <c r="J8" s="12"/>
      <c r="K8" s="12"/>
      <c r="P8" s="12"/>
      <c r="R8" s="12"/>
      <c r="S8" s="12"/>
      <c r="T8" s="12"/>
      <c r="X8" s="12"/>
      <c r="AA8" s="12"/>
      <c r="AB8" s="12"/>
      <c r="AC8" s="12"/>
    </row>
    <row r="9" spans="1:30" x14ac:dyDescent="0.25">
      <c r="A9">
        <v>595</v>
      </c>
      <c r="B9">
        <v>841</v>
      </c>
      <c r="C9">
        <v>0</v>
      </c>
      <c r="D9" s="12" t="s">
        <v>53</v>
      </c>
      <c r="E9" s="12" t="s">
        <v>54</v>
      </c>
      <c r="F9" s="12" t="s">
        <v>55</v>
      </c>
      <c r="G9">
        <v>0</v>
      </c>
      <c r="H9">
        <v>841</v>
      </c>
      <c r="I9" s="12"/>
      <c r="J9" s="12"/>
      <c r="K9" s="12"/>
      <c r="P9" s="12"/>
      <c r="R9" s="12"/>
      <c r="S9" s="12"/>
      <c r="T9" s="12"/>
      <c r="X9" s="12"/>
      <c r="AA9" s="12"/>
      <c r="AB9" s="12"/>
      <c r="AC9" s="12"/>
    </row>
    <row r="10" spans="1:30" x14ac:dyDescent="0.25">
      <c r="A10">
        <v>595</v>
      </c>
      <c r="B10">
        <v>841</v>
      </c>
      <c r="C10">
        <v>0</v>
      </c>
      <c r="D10" s="12"/>
      <c r="E10" s="12"/>
      <c r="F10" s="12"/>
      <c r="I10" s="12" t="s">
        <v>56</v>
      </c>
      <c r="J10" s="12" t="s">
        <v>54</v>
      </c>
      <c r="K10" s="12" t="s">
        <v>55</v>
      </c>
      <c r="L10">
        <v>0</v>
      </c>
      <c r="M10">
        <v>-0.89001465000000002</v>
      </c>
      <c r="P10" s="12"/>
      <c r="R10" s="12"/>
      <c r="S10" s="12"/>
      <c r="T10" s="12"/>
      <c r="X10" s="12"/>
      <c r="AA10" s="12"/>
      <c r="AB10" s="12"/>
      <c r="AC10" s="12"/>
    </row>
    <row r="11" spans="1:30" x14ac:dyDescent="0.25">
      <c r="A11">
        <v>595</v>
      </c>
      <c r="B11">
        <v>841</v>
      </c>
      <c r="C11">
        <v>0</v>
      </c>
      <c r="D11" s="12"/>
      <c r="E11" s="12"/>
      <c r="F11" s="12"/>
      <c r="I11" s="12" t="s">
        <v>56</v>
      </c>
      <c r="J11" s="12" t="s">
        <v>54</v>
      </c>
      <c r="K11" s="12" t="s">
        <v>55</v>
      </c>
      <c r="L11">
        <v>595.27599999999995</v>
      </c>
      <c r="M11">
        <v>-0.89001465000000002</v>
      </c>
      <c r="P11" s="12"/>
      <c r="R11" s="12"/>
      <c r="S11" s="12"/>
      <c r="T11" s="12"/>
      <c r="X11" s="12"/>
      <c r="AA11" s="12"/>
      <c r="AB11" s="12"/>
      <c r="AC11" s="12"/>
    </row>
    <row r="12" spans="1:30" x14ac:dyDescent="0.25">
      <c r="A12">
        <v>595</v>
      </c>
      <c r="B12">
        <v>841</v>
      </c>
      <c r="C12">
        <v>0</v>
      </c>
      <c r="D12" s="12"/>
      <c r="E12" s="12"/>
      <c r="F12" s="12"/>
      <c r="I12" s="12" t="s">
        <v>56</v>
      </c>
      <c r="J12" s="12" t="s">
        <v>54</v>
      </c>
      <c r="K12" s="12" t="s">
        <v>55</v>
      </c>
      <c r="L12">
        <v>595.27599999999995</v>
      </c>
      <c r="M12">
        <v>-0.89001465000000002</v>
      </c>
      <c r="P12" s="12"/>
      <c r="R12" s="12"/>
      <c r="S12" s="12"/>
      <c r="T12" s="12"/>
      <c r="X12" s="12"/>
      <c r="AA12" s="12"/>
      <c r="AB12" s="12"/>
      <c r="AC12" s="12"/>
    </row>
    <row r="13" spans="1:30" x14ac:dyDescent="0.25">
      <c r="A13">
        <v>595</v>
      </c>
      <c r="B13">
        <v>841</v>
      </c>
      <c r="C13">
        <v>0</v>
      </c>
      <c r="D13" s="12"/>
      <c r="E13" s="12"/>
      <c r="F13" s="12"/>
      <c r="I13" s="12" t="s">
        <v>56</v>
      </c>
      <c r="J13" s="12" t="s">
        <v>54</v>
      </c>
      <c r="K13" s="12" t="s">
        <v>55</v>
      </c>
      <c r="L13">
        <v>595.27599999999995</v>
      </c>
      <c r="M13">
        <v>841</v>
      </c>
      <c r="P13" s="12"/>
      <c r="R13" s="12"/>
      <c r="S13" s="12"/>
      <c r="T13" s="12"/>
      <c r="X13" s="12"/>
      <c r="AA13" s="12"/>
      <c r="AB13" s="12"/>
      <c r="AC13" s="12"/>
    </row>
    <row r="14" spans="1:30" x14ac:dyDescent="0.25">
      <c r="A14">
        <v>595</v>
      </c>
      <c r="B14">
        <v>841</v>
      </c>
      <c r="C14">
        <v>0</v>
      </c>
      <c r="D14" s="12"/>
      <c r="E14" s="12"/>
      <c r="F14" s="12"/>
      <c r="I14" s="12" t="s">
        <v>56</v>
      </c>
      <c r="J14" s="12" t="s">
        <v>54</v>
      </c>
      <c r="K14" s="12" t="s">
        <v>55</v>
      </c>
      <c r="L14">
        <v>595.27599999999995</v>
      </c>
      <c r="M14">
        <v>841</v>
      </c>
      <c r="P14" s="12"/>
      <c r="R14" s="12"/>
      <c r="S14" s="12"/>
      <c r="T14" s="12"/>
      <c r="X14" s="12"/>
      <c r="AA14" s="12"/>
      <c r="AB14" s="12"/>
      <c r="AC14" s="12"/>
    </row>
    <row r="15" spans="1:30" x14ac:dyDescent="0.25">
      <c r="A15">
        <v>595</v>
      </c>
      <c r="B15">
        <v>841</v>
      </c>
      <c r="C15">
        <v>0</v>
      </c>
      <c r="D15" s="12"/>
      <c r="E15" s="12"/>
      <c r="F15" s="12"/>
      <c r="I15" s="12" t="s">
        <v>56</v>
      </c>
      <c r="J15" s="12" t="s">
        <v>54</v>
      </c>
      <c r="K15" s="12" t="s">
        <v>55</v>
      </c>
      <c r="L15">
        <v>0</v>
      </c>
      <c r="M15">
        <v>841</v>
      </c>
      <c r="P15" s="12"/>
      <c r="R15" s="12"/>
      <c r="S15" s="12"/>
      <c r="T15" s="12"/>
      <c r="X15" s="12"/>
      <c r="AA15" s="12"/>
      <c r="AB15" s="12"/>
      <c r="AC15" s="12"/>
    </row>
    <row r="16" spans="1:30" x14ac:dyDescent="0.25">
      <c r="A16">
        <v>595</v>
      </c>
      <c r="B16">
        <v>841</v>
      </c>
      <c r="C16">
        <v>0</v>
      </c>
      <c r="D16" s="12"/>
      <c r="E16" s="12"/>
      <c r="F16" s="12"/>
      <c r="I16" s="12"/>
      <c r="J16" s="12"/>
      <c r="K16" s="12"/>
      <c r="N16">
        <v>0.5</v>
      </c>
      <c r="O16">
        <v>0</v>
      </c>
      <c r="P16" s="12" t="s">
        <v>57</v>
      </c>
      <c r="Q16">
        <v>12</v>
      </c>
      <c r="R16" s="12" t="s">
        <v>225</v>
      </c>
      <c r="S16" s="12" t="s">
        <v>227</v>
      </c>
      <c r="T16" s="12" t="s">
        <v>229</v>
      </c>
      <c r="U16">
        <v>1</v>
      </c>
      <c r="V16">
        <v>0</v>
      </c>
      <c r="W16">
        <v>0</v>
      </c>
      <c r="X16" s="12" t="s">
        <v>230</v>
      </c>
      <c r="Y16">
        <v>25.324218999999999</v>
      </c>
      <c r="Z16">
        <v>13.2890625</v>
      </c>
      <c r="AA16" s="12" t="s">
        <v>55</v>
      </c>
      <c r="AB16" s="12" t="s">
        <v>288</v>
      </c>
      <c r="AC16" s="12"/>
    </row>
    <row r="17" spans="1:29" x14ac:dyDescent="0.25">
      <c r="A17">
        <v>595</v>
      </c>
      <c r="B17">
        <v>841</v>
      </c>
      <c r="C17">
        <v>0</v>
      </c>
      <c r="D17" s="12"/>
      <c r="E17" s="12"/>
      <c r="F17" s="12"/>
      <c r="I17" s="12"/>
      <c r="J17" s="12"/>
      <c r="K17" s="12"/>
      <c r="N17">
        <v>0.5</v>
      </c>
      <c r="O17">
        <v>0</v>
      </c>
      <c r="P17" s="12" t="s">
        <v>58</v>
      </c>
      <c r="Q17">
        <v>12</v>
      </c>
      <c r="R17" s="12" t="s">
        <v>225</v>
      </c>
      <c r="S17" s="12" t="s">
        <v>227</v>
      </c>
      <c r="T17" s="12" t="s">
        <v>229</v>
      </c>
      <c r="U17">
        <v>1</v>
      </c>
      <c r="V17">
        <v>0</v>
      </c>
      <c r="W17">
        <v>0</v>
      </c>
      <c r="X17" s="12" t="s">
        <v>231</v>
      </c>
      <c r="Y17">
        <v>35.666015999999999</v>
      </c>
      <c r="Z17">
        <v>13.2890625</v>
      </c>
      <c r="AA17" s="12" t="s">
        <v>55</v>
      </c>
      <c r="AB17" s="12" t="s">
        <v>288</v>
      </c>
      <c r="AC17" s="12"/>
    </row>
    <row r="18" spans="1:29" x14ac:dyDescent="0.25">
      <c r="A18">
        <v>595</v>
      </c>
      <c r="B18">
        <v>841</v>
      </c>
      <c r="C18">
        <v>0</v>
      </c>
      <c r="D18" s="12"/>
      <c r="E18" s="12"/>
      <c r="F18" s="12"/>
      <c r="I18" s="12"/>
      <c r="J18" s="12"/>
      <c r="K18" s="12"/>
      <c r="N18">
        <v>0.5</v>
      </c>
      <c r="O18">
        <v>0</v>
      </c>
      <c r="P18" s="12" t="s">
        <v>59</v>
      </c>
      <c r="Q18">
        <v>12</v>
      </c>
      <c r="R18" s="12" t="s">
        <v>225</v>
      </c>
      <c r="S18" s="12" t="s">
        <v>227</v>
      </c>
      <c r="T18" s="12" t="s">
        <v>229</v>
      </c>
      <c r="U18">
        <v>1</v>
      </c>
      <c r="V18">
        <v>0</v>
      </c>
      <c r="W18">
        <v>0</v>
      </c>
      <c r="X18" s="12"/>
      <c r="Y18">
        <v>3</v>
      </c>
      <c r="Z18">
        <v>13.2890625</v>
      </c>
      <c r="AA18" s="12" t="s">
        <v>55</v>
      </c>
      <c r="AB18" s="12" t="s">
        <v>288</v>
      </c>
      <c r="AC18" s="12"/>
    </row>
    <row r="19" spans="1:29" x14ac:dyDescent="0.25">
      <c r="A19">
        <v>595</v>
      </c>
      <c r="B19">
        <v>841</v>
      </c>
      <c r="C19">
        <v>0</v>
      </c>
      <c r="D19" s="12"/>
      <c r="E19" s="12"/>
      <c r="F19" s="12"/>
      <c r="I19" s="12"/>
      <c r="J19" s="12"/>
      <c r="K19" s="12"/>
      <c r="N19">
        <v>0.5</v>
      </c>
      <c r="O19">
        <v>0</v>
      </c>
      <c r="P19" s="12" t="s">
        <v>60</v>
      </c>
      <c r="Q19">
        <v>12</v>
      </c>
      <c r="R19" s="12" t="s">
        <v>225</v>
      </c>
      <c r="S19" s="12" t="s">
        <v>227</v>
      </c>
      <c r="T19" s="12" t="s">
        <v>229</v>
      </c>
      <c r="U19">
        <v>1</v>
      </c>
      <c r="V19">
        <v>0</v>
      </c>
      <c r="W19">
        <v>0</v>
      </c>
      <c r="X19" s="12" t="s">
        <v>232</v>
      </c>
      <c r="Y19">
        <v>63.990234000000001</v>
      </c>
      <c r="Z19">
        <v>13.2890625</v>
      </c>
      <c r="AA19" s="12" t="s">
        <v>55</v>
      </c>
      <c r="AB19" s="12" t="s">
        <v>288</v>
      </c>
      <c r="AC19" s="12"/>
    </row>
    <row r="20" spans="1:29" x14ac:dyDescent="0.25">
      <c r="A20">
        <v>595</v>
      </c>
      <c r="B20">
        <v>841</v>
      </c>
      <c r="C20">
        <v>0</v>
      </c>
      <c r="D20" s="12"/>
      <c r="E20" s="12"/>
      <c r="F20" s="12"/>
      <c r="I20" s="12"/>
      <c r="J20" s="12"/>
      <c r="K20" s="12"/>
      <c r="N20">
        <v>0.5</v>
      </c>
      <c r="O20">
        <v>0</v>
      </c>
      <c r="P20" s="12" t="s">
        <v>61</v>
      </c>
      <c r="Q20">
        <v>12</v>
      </c>
      <c r="R20" s="12" t="s">
        <v>225</v>
      </c>
      <c r="S20" s="12" t="s">
        <v>227</v>
      </c>
      <c r="T20" s="12" t="s">
        <v>229</v>
      </c>
      <c r="U20">
        <v>1</v>
      </c>
      <c r="V20">
        <v>0</v>
      </c>
      <c r="W20">
        <v>0</v>
      </c>
      <c r="X20" s="12" t="s">
        <v>233</v>
      </c>
      <c r="Y20">
        <v>18.65625</v>
      </c>
      <c r="Z20">
        <v>13.2890625</v>
      </c>
      <c r="AA20" s="12" t="s">
        <v>55</v>
      </c>
      <c r="AB20" s="12" t="s">
        <v>288</v>
      </c>
      <c r="AC20" s="12"/>
    </row>
    <row r="21" spans="1:29" x14ac:dyDescent="0.25">
      <c r="A21">
        <v>595</v>
      </c>
      <c r="B21">
        <v>841</v>
      </c>
      <c r="C21">
        <v>0</v>
      </c>
      <c r="D21" s="12"/>
      <c r="E21" s="12"/>
      <c r="F21" s="12"/>
      <c r="I21" s="12"/>
      <c r="J21" s="12"/>
      <c r="K21" s="12"/>
      <c r="N21">
        <v>0.5</v>
      </c>
      <c r="O21">
        <v>0</v>
      </c>
      <c r="P21" s="12" t="s">
        <v>62</v>
      </c>
      <c r="Q21">
        <v>12</v>
      </c>
      <c r="R21" s="12" t="s">
        <v>225</v>
      </c>
      <c r="S21" s="12" t="s">
        <v>227</v>
      </c>
      <c r="T21" s="12" t="s">
        <v>229</v>
      </c>
      <c r="U21">
        <v>1</v>
      </c>
      <c r="V21">
        <v>0</v>
      </c>
      <c r="W21">
        <v>0</v>
      </c>
      <c r="X21" s="12"/>
      <c r="Y21">
        <v>3</v>
      </c>
      <c r="Z21">
        <v>13.2890625</v>
      </c>
      <c r="AA21" s="12" t="s">
        <v>55</v>
      </c>
      <c r="AB21" s="12" t="s">
        <v>288</v>
      </c>
      <c r="AC21" s="12"/>
    </row>
    <row r="22" spans="1:29" x14ac:dyDescent="0.25">
      <c r="A22">
        <v>595</v>
      </c>
      <c r="B22">
        <v>841</v>
      </c>
      <c r="C22">
        <v>0</v>
      </c>
      <c r="D22" s="12"/>
      <c r="E22" s="12"/>
      <c r="F22" s="12"/>
      <c r="I22" s="12"/>
      <c r="J22" s="12"/>
      <c r="K22" s="12"/>
      <c r="N22">
        <v>0.5</v>
      </c>
      <c r="O22">
        <v>0</v>
      </c>
      <c r="P22" s="12" t="s">
        <v>63</v>
      </c>
      <c r="Q22">
        <v>12</v>
      </c>
      <c r="R22" s="12" t="s">
        <v>225</v>
      </c>
      <c r="S22" s="12" t="s">
        <v>227</v>
      </c>
      <c r="T22" s="12" t="s">
        <v>229</v>
      </c>
      <c r="U22">
        <v>1</v>
      </c>
      <c r="V22">
        <v>0</v>
      </c>
      <c r="W22">
        <v>0</v>
      </c>
      <c r="X22" s="12" t="s">
        <v>234</v>
      </c>
      <c r="Y22">
        <v>22.998047</v>
      </c>
      <c r="Z22">
        <v>13.2890625</v>
      </c>
      <c r="AA22" s="12" t="s">
        <v>55</v>
      </c>
      <c r="AB22" s="12" t="s">
        <v>288</v>
      </c>
      <c r="AC22" s="12"/>
    </row>
    <row r="23" spans="1:29" x14ac:dyDescent="0.25">
      <c r="A23">
        <v>595</v>
      </c>
      <c r="B23">
        <v>841</v>
      </c>
      <c r="C23">
        <v>0</v>
      </c>
      <c r="D23" s="12"/>
      <c r="E23" s="12"/>
      <c r="F23" s="12"/>
      <c r="I23" s="12"/>
      <c r="J23" s="12"/>
      <c r="K23" s="12"/>
      <c r="N23">
        <v>0.5</v>
      </c>
      <c r="O23">
        <v>0</v>
      </c>
      <c r="P23" s="12" t="s">
        <v>64</v>
      </c>
      <c r="Q23">
        <v>12</v>
      </c>
      <c r="R23" s="12" t="s">
        <v>225</v>
      </c>
      <c r="S23" s="12" t="s">
        <v>227</v>
      </c>
      <c r="T23" s="12" t="s">
        <v>229</v>
      </c>
      <c r="U23">
        <v>1</v>
      </c>
      <c r="V23">
        <v>0</v>
      </c>
      <c r="W23">
        <v>0</v>
      </c>
      <c r="X23" s="12" t="s">
        <v>235</v>
      </c>
      <c r="Y23">
        <v>30.650390000000002</v>
      </c>
      <c r="Z23">
        <v>13.2890625</v>
      </c>
      <c r="AA23" s="12" t="s">
        <v>55</v>
      </c>
      <c r="AB23" s="12" t="s">
        <v>288</v>
      </c>
      <c r="AC23" s="12"/>
    </row>
    <row r="24" spans="1:29" x14ac:dyDescent="0.25">
      <c r="A24">
        <v>595</v>
      </c>
      <c r="B24">
        <v>841</v>
      </c>
      <c r="C24">
        <v>0</v>
      </c>
      <c r="D24" s="12"/>
      <c r="E24" s="12"/>
      <c r="F24" s="12"/>
      <c r="I24" s="12"/>
      <c r="J24" s="12"/>
      <c r="K24" s="12"/>
      <c r="N24">
        <v>0.5</v>
      </c>
      <c r="O24">
        <v>0</v>
      </c>
      <c r="P24" s="12" t="s">
        <v>65</v>
      </c>
      <c r="Q24">
        <v>12</v>
      </c>
      <c r="R24" s="12" t="s">
        <v>225</v>
      </c>
      <c r="S24" s="12" t="s">
        <v>227</v>
      </c>
      <c r="T24" s="12" t="s">
        <v>229</v>
      </c>
      <c r="U24">
        <v>1</v>
      </c>
      <c r="V24">
        <v>0</v>
      </c>
      <c r="W24">
        <v>0</v>
      </c>
      <c r="X24" s="12"/>
      <c r="Y24">
        <v>3</v>
      </c>
      <c r="Z24">
        <v>13.2890625</v>
      </c>
      <c r="AA24" s="12" t="s">
        <v>55</v>
      </c>
      <c r="AB24" s="12" t="s">
        <v>288</v>
      </c>
      <c r="AC24" s="12"/>
    </row>
    <row r="25" spans="1:29" x14ac:dyDescent="0.25">
      <c r="A25">
        <v>595</v>
      </c>
      <c r="B25">
        <v>841</v>
      </c>
      <c r="C25">
        <v>0</v>
      </c>
      <c r="D25" s="12"/>
      <c r="E25" s="12"/>
      <c r="F25" s="12"/>
      <c r="I25" s="12"/>
      <c r="J25" s="12"/>
      <c r="K25" s="12"/>
      <c r="N25">
        <v>0.5</v>
      </c>
      <c r="O25">
        <v>0</v>
      </c>
      <c r="P25" s="12" t="s">
        <v>66</v>
      </c>
      <c r="Q25">
        <v>12</v>
      </c>
      <c r="R25" s="12" t="s">
        <v>225</v>
      </c>
      <c r="S25" s="12" t="s">
        <v>227</v>
      </c>
      <c r="T25" s="12" t="s">
        <v>229</v>
      </c>
      <c r="U25">
        <v>1</v>
      </c>
      <c r="V25">
        <v>0</v>
      </c>
      <c r="W25">
        <v>0</v>
      </c>
      <c r="X25" s="12" t="s">
        <v>236</v>
      </c>
      <c r="Y25">
        <v>15.333983999999999</v>
      </c>
      <c r="Z25">
        <v>13.2890625</v>
      </c>
      <c r="AA25" s="12" t="s">
        <v>55</v>
      </c>
      <c r="AB25" s="12" t="s">
        <v>288</v>
      </c>
      <c r="AC25" s="12"/>
    </row>
    <row r="26" spans="1:29" x14ac:dyDescent="0.25">
      <c r="A26">
        <v>595</v>
      </c>
      <c r="B26">
        <v>841</v>
      </c>
      <c r="C26">
        <v>0</v>
      </c>
      <c r="D26" s="12"/>
      <c r="E26" s="12"/>
      <c r="F26" s="12"/>
      <c r="I26" s="12"/>
      <c r="J26" s="12"/>
      <c r="K26" s="12"/>
      <c r="N26">
        <v>0.5</v>
      </c>
      <c r="O26">
        <v>0</v>
      </c>
      <c r="P26" s="12" t="s">
        <v>67</v>
      </c>
      <c r="Q26">
        <v>12</v>
      </c>
      <c r="R26" s="12" t="s">
        <v>225</v>
      </c>
      <c r="S26" s="12" t="s">
        <v>227</v>
      </c>
      <c r="T26" s="12" t="s">
        <v>229</v>
      </c>
      <c r="U26">
        <v>1</v>
      </c>
      <c r="V26">
        <v>0</v>
      </c>
      <c r="W26">
        <v>0</v>
      </c>
      <c r="X26" s="12"/>
      <c r="Y26">
        <v>3</v>
      </c>
      <c r="Z26">
        <v>13.2890625</v>
      </c>
      <c r="AA26" s="12" t="s">
        <v>55</v>
      </c>
      <c r="AB26" s="12" t="s">
        <v>288</v>
      </c>
      <c r="AC26" s="12"/>
    </row>
    <row r="27" spans="1:29" x14ac:dyDescent="0.25">
      <c r="A27">
        <v>595</v>
      </c>
      <c r="B27">
        <v>841</v>
      </c>
      <c r="C27">
        <v>0</v>
      </c>
      <c r="D27" s="12"/>
      <c r="E27" s="12"/>
      <c r="F27" s="12"/>
      <c r="I27" s="12"/>
      <c r="J27" s="12"/>
      <c r="K27" s="12"/>
      <c r="N27">
        <v>0.5</v>
      </c>
      <c r="O27">
        <v>0</v>
      </c>
      <c r="P27" s="12" t="s">
        <v>68</v>
      </c>
      <c r="Q27">
        <v>12</v>
      </c>
      <c r="R27" s="12" t="s">
        <v>225</v>
      </c>
      <c r="S27" s="12" t="s">
        <v>227</v>
      </c>
      <c r="T27" s="12" t="s">
        <v>229</v>
      </c>
      <c r="U27">
        <v>1</v>
      </c>
      <c r="V27">
        <v>0</v>
      </c>
      <c r="W27">
        <v>0</v>
      </c>
      <c r="X27" s="12" t="s">
        <v>237</v>
      </c>
      <c r="Y27">
        <v>30</v>
      </c>
      <c r="Z27">
        <v>13.2890625</v>
      </c>
      <c r="AA27" s="12" t="s">
        <v>55</v>
      </c>
      <c r="AB27" s="12" t="s">
        <v>288</v>
      </c>
      <c r="AC27" s="12"/>
    </row>
    <row r="28" spans="1:29" x14ac:dyDescent="0.25">
      <c r="A28">
        <v>595</v>
      </c>
      <c r="B28">
        <v>841</v>
      </c>
      <c r="C28">
        <v>0</v>
      </c>
      <c r="D28" s="12"/>
      <c r="E28" s="12"/>
      <c r="F28" s="12"/>
      <c r="I28" s="12"/>
      <c r="J28" s="12"/>
      <c r="K28" s="12"/>
      <c r="N28">
        <v>0.5</v>
      </c>
      <c r="O28">
        <v>0</v>
      </c>
      <c r="P28" s="12" t="s">
        <v>69</v>
      </c>
      <c r="Q28">
        <v>12</v>
      </c>
      <c r="R28" s="12" t="s">
        <v>225</v>
      </c>
      <c r="S28" s="12" t="s">
        <v>227</v>
      </c>
      <c r="T28" s="12" t="s">
        <v>229</v>
      </c>
      <c r="U28">
        <v>1</v>
      </c>
      <c r="V28">
        <v>0</v>
      </c>
      <c r="W28">
        <v>0</v>
      </c>
      <c r="X28" s="12"/>
      <c r="Y28">
        <v>3</v>
      </c>
      <c r="Z28">
        <v>13.2890625</v>
      </c>
      <c r="AA28" s="12" t="s">
        <v>55</v>
      </c>
      <c r="AB28" s="12" t="s">
        <v>288</v>
      </c>
      <c r="AC28" s="12"/>
    </row>
    <row r="29" spans="1:29" x14ac:dyDescent="0.25">
      <c r="A29">
        <v>595</v>
      </c>
      <c r="B29">
        <v>841</v>
      </c>
      <c r="C29">
        <v>0</v>
      </c>
      <c r="D29" s="12"/>
      <c r="E29" s="12"/>
      <c r="F29" s="12"/>
      <c r="I29" s="12"/>
      <c r="J29" s="12"/>
      <c r="K29" s="12"/>
      <c r="N29">
        <v>0.5</v>
      </c>
      <c r="O29">
        <v>0</v>
      </c>
      <c r="P29" s="12" t="s">
        <v>70</v>
      </c>
      <c r="Q29">
        <v>12</v>
      </c>
      <c r="R29" s="12" t="s">
        <v>225</v>
      </c>
      <c r="S29" s="12" t="s">
        <v>227</v>
      </c>
      <c r="T29" s="12" t="s">
        <v>229</v>
      </c>
      <c r="U29">
        <v>1</v>
      </c>
      <c r="V29">
        <v>0</v>
      </c>
      <c r="W29">
        <v>0</v>
      </c>
      <c r="X29" s="12" t="s">
        <v>238</v>
      </c>
      <c r="Y29">
        <v>21.996093999999999</v>
      </c>
      <c r="Z29">
        <v>13.2890625</v>
      </c>
      <c r="AA29" s="12" t="s">
        <v>55</v>
      </c>
      <c r="AB29" s="12" t="s">
        <v>288</v>
      </c>
      <c r="AC29" s="12"/>
    </row>
    <row r="30" spans="1:29" x14ac:dyDescent="0.25">
      <c r="A30">
        <v>595</v>
      </c>
      <c r="B30">
        <v>841</v>
      </c>
      <c r="C30">
        <v>0</v>
      </c>
      <c r="D30" s="12"/>
      <c r="E30" s="12"/>
      <c r="F30" s="12"/>
      <c r="I30" s="12"/>
      <c r="J30" s="12"/>
      <c r="K30" s="12"/>
      <c r="N30">
        <v>0.5</v>
      </c>
      <c r="O30">
        <v>0</v>
      </c>
      <c r="P30" s="12" t="s">
        <v>71</v>
      </c>
      <c r="Q30">
        <v>12</v>
      </c>
      <c r="R30" s="12" t="s">
        <v>225</v>
      </c>
      <c r="S30" s="12" t="s">
        <v>227</v>
      </c>
      <c r="T30" s="12" t="s">
        <v>229</v>
      </c>
      <c r="U30">
        <v>1</v>
      </c>
      <c r="V30">
        <v>0</v>
      </c>
      <c r="W30">
        <v>0</v>
      </c>
      <c r="X30" s="12" t="s">
        <v>239</v>
      </c>
      <c r="Y30">
        <v>19.007812000000001</v>
      </c>
      <c r="Z30">
        <v>13.2890625</v>
      </c>
      <c r="AA30" s="12" t="s">
        <v>55</v>
      </c>
      <c r="AB30" s="12" t="s">
        <v>288</v>
      </c>
      <c r="AC30" s="12"/>
    </row>
    <row r="31" spans="1:29" x14ac:dyDescent="0.25">
      <c r="A31">
        <v>595</v>
      </c>
      <c r="B31">
        <v>841</v>
      </c>
      <c r="C31">
        <v>0</v>
      </c>
      <c r="D31" s="12"/>
      <c r="E31" s="12"/>
      <c r="F31" s="12"/>
      <c r="I31" s="12"/>
      <c r="J31" s="12"/>
      <c r="K31" s="12"/>
      <c r="N31">
        <v>0.5</v>
      </c>
      <c r="O31">
        <v>0</v>
      </c>
      <c r="P31" s="12" t="s">
        <v>72</v>
      </c>
      <c r="Q31">
        <v>12</v>
      </c>
      <c r="R31" s="12" t="s">
        <v>225</v>
      </c>
      <c r="S31" s="12" t="s">
        <v>227</v>
      </c>
      <c r="T31" s="12" t="s">
        <v>229</v>
      </c>
      <c r="U31">
        <v>1</v>
      </c>
      <c r="V31">
        <v>0</v>
      </c>
      <c r="W31">
        <v>0</v>
      </c>
      <c r="X31" s="12" t="s">
        <v>240</v>
      </c>
      <c r="Y31">
        <v>17.326172</v>
      </c>
      <c r="Z31">
        <v>13.2890625</v>
      </c>
      <c r="AA31" s="12" t="s">
        <v>55</v>
      </c>
      <c r="AB31" s="12" t="s">
        <v>288</v>
      </c>
      <c r="AC31" s="12"/>
    </row>
    <row r="32" spans="1:29" x14ac:dyDescent="0.25">
      <c r="A32">
        <v>595</v>
      </c>
      <c r="B32">
        <v>841</v>
      </c>
      <c r="C32">
        <v>0</v>
      </c>
      <c r="D32" s="12"/>
      <c r="E32" s="12"/>
      <c r="F32" s="12"/>
      <c r="I32" s="12"/>
      <c r="J32" s="12"/>
      <c r="K32" s="12"/>
      <c r="N32">
        <v>0.5</v>
      </c>
      <c r="O32">
        <v>0</v>
      </c>
      <c r="P32" s="12" t="s">
        <v>73</v>
      </c>
      <c r="Q32">
        <v>12</v>
      </c>
      <c r="R32" s="12" t="s">
        <v>225</v>
      </c>
      <c r="S32" s="12" t="s">
        <v>227</v>
      </c>
      <c r="T32" s="12" t="s">
        <v>229</v>
      </c>
      <c r="U32">
        <v>1</v>
      </c>
      <c r="V32">
        <v>0</v>
      </c>
      <c r="W32">
        <v>0</v>
      </c>
      <c r="X32" s="12"/>
      <c r="Y32">
        <v>3</v>
      </c>
      <c r="Z32">
        <v>13.2890625</v>
      </c>
      <c r="AA32" s="12" t="s">
        <v>55</v>
      </c>
      <c r="AB32" s="12" t="s">
        <v>288</v>
      </c>
      <c r="AC32" s="12"/>
    </row>
    <row r="33" spans="1:29" x14ac:dyDescent="0.25">
      <c r="A33">
        <v>595</v>
      </c>
      <c r="B33">
        <v>841</v>
      </c>
      <c r="C33">
        <v>0</v>
      </c>
      <c r="D33" s="12"/>
      <c r="E33" s="12"/>
      <c r="F33" s="12"/>
      <c r="I33" s="12"/>
      <c r="J33" s="12"/>
      <c r="K33" s="12"/>
      <c r="N33">
        <v>0.5</v>
      </c>
      <c r="O33">
        <v>0</v>
      </c>
      <c r="P33" s="12" t="s">
        <v>74</v>
      </c>
      <c r="Q33">
        <v>12</v>
      </c>
      <c r="R33" s="12" t="s">
        <v>225</v>
      </c>
      <c r="S33" s="12" t="s">
        <v>227</v>
      </c>
      <c r="T33" s="12" t="s">
        <v>229</v>
      </c>
      <c r="U33">
        <v>1</v>
      </c>
      <c r="V33">
        <v>0</v>
      </c>
      <c r="W33">
        <v>0</v>
      </c>
      <c r="X33" s="12" t="s">
        <v>241</v>
      </c>
      <c r="Y33">
        <v>28.992187999999999</v>
      </c>
      <c r="Z33">
        <v>13.2890625</v>
      </c>
      <c r="AA33" s="12" t="s">
        <v>55</v>
      </c>
      <c r="AB33" s="12" t="s">
        <v>288</v>
      </c>
      <c r="AC33" s="12"/>
    </row>
    <row r="34" spans="1:29" x14ac:dyDescent="0.25">
      <c r="A34">
        <v>595</v>
      </c>
      <c r="B34">
        <v>841</v>
      </c>
      <c r="C34">
        <v>0</v>
      </c>
      <c r="D34" s="12"/>
      <c r="E34" s="12"/>
      <c r="F34" s="12"/>
      <c r="I34" s="12"/>
      <c r="J34" s="12"/>
      <c r="K34" s="12"/>
      <c r="N34">
        <v>0.5</v>
      </c>
      <c r="O34">
        <v>0</v>
      </c>
      <c r="P34" s="12" t="s">
        <v>75</v>
      </c>
      <c r="Q34">
        <v>12</v>
      </c>
      <c r="R34" s="12" t="s">
        <v>225</v>
      </c>
      <c r="S34" s="12" t="s">
        <v>227</v>
      </c>
      <c r="T34" s="12" t="s">
        <v>229</v>
      </c>
      <c r="U34">
        <v>1</v>
      </c>
      <c r="V34">
        <v>0</v>
      </c>
      <c r="W34">
        <v>0</v>
      </c>
      <c r="X34" s="12"/>
      <c r="Y34">
        <v>3</v>
      </c>
      <c r="Z34">
        <v>13.2890625</v>
      </c>
      <c r="AA34" s="12" t="s">
        <v>55</v>
      </c>
      <c r="AB34" s="12" t="s">
        <v>288</v>
      </c>
      <c r="AC34" s="12"/>
    </row>
    <row r="35" spans="1:29" x14ac:dyDescent="0.25">
      <c r="A35">
        <v>595</v>
      </c>
      <c r="B35">
        <v>841</v>
      </c>
      <c r="C35">
        <v>0</v>
      </c>
      <c r="D35" s="12"/>
      <c r="E35" s="12"/>
      <c r="F35" s="12"/>
      <c r="I35" s="12"/>
      <c r="J35" s="12"/>
      <c r="K35" s="12"/>
      <c r="N35">
        <v>0.5</v>
      </c>
      <c r="O35">
        <v>0</v>
      </c>
      <c r="P35" s="12" t="s">
        <v>76</v>
      </c>
      <c r="Q35">
        <v>12</v>
      </c>
      <c r="R35" s="12" t="s">
        <v>225</v>
      </c>
      <c r="S35" s="12" t="s">
        <v>227</v>
      </c>
      <c r="T35" s="12" t="s">
        <v>229</v>
      </c>
      <c r="U35">
        <v>1</v>
      </c>
      <c r="V35">
        <v>0</v>
      </c>
      <c r="W35">
        <v>0</v>
      </c>
      <c r="X35" s="12" t="s">
        <v>242</v>
      </c>
      <c r="Y35">
        <v>35.308593999999999</v>
      </c>
      <c r="Z35">
        <v>13.2890625</v>
      </c>
      <c r="AA35" s="12" t="s">
        <v>55</v>
      </c>
      <c r="AB35" s="12" t="s">
        <v>288</v>
      </c>
      <c r="AC35" s="12"/>
    </row>
    <row r="36" spans="1:29" x14ac:dyDescent="0.25">
      <c r="A36">
        <v>595</v>
      </c>
      <c r="B36">
        <v>841</v>
      </c>
      <c r="C36">
        <v>0</v>
      </c>
      <c r="D36" s="12"/>
      <c r="E36" s="12"/>
      <c r="F36" s="12"/>
      <c r="I36" s="12"/>
      <c r="J36" s="12"/>
      <c r="K36" s="12"/>
      <c r="N36">
        <v>0.5</v>
      </c>
      <c r="O36">
        <v>0</v>
      </c>
      <c r="P36" s="12" t="s">
        <v>77</v>
      </c>
      <c r="Q36">
        <v>12</v>
      </c>
      <c r="R36" s="12" t="s">
        <v>225</v>
      </c>
      <c r="S36" s="12" t="s">
        <v>227</v>
      </c>
      <c r="T36" s="12" t="s">
        <v>229</v>
      </c>
      <c r="U36">
        <v>1</v>
      </c>
      <c r="V36">
        <v>0</v>
      </c>
      <c r="W36">
        <v>0</v>
      </c>
      <c r="X36" s="12"/>
      <c r="Y36">
        <v>3</v>
      </c>
      <c r="Z36">
        <v>13.2890625</v>
      </c>
      <c r="AA36" s="12" t="s">
        <v>55</v>
      </c>
      <c r="AB36" s="12" t="s">
        <v>288</v>
      </c>
      <c r="AC36" s="12"/>
    </row>
    <row r="37" spans="1:29" x14ac:dyDescent="0.25">
      <c r="A37">
        <v>595</v>
      </c>
      <c r="B37">
        <v>841</v>
      </c>
      <c r="C37">
        <v>0</v>
      </c>
      <c r="D37" s="12"/>
      <c r="E37" s="12"/>
      <c r="F37" s="12"/>
      <c r="I37" s="12"/>
      <c r="J37" s="12"/>
      <c r="K37" s="12"/>
      <c r="N37">
        <v>0.5</v>
      </c>
      <c r="O37">
        <v>0</v>
      </c>
      <c r="P37" s="12" t="s">
        <v>78</v>
      </c>
      <c r="Q37">
        <v>12</v>
      </c>
      <c r="R37" s="12" t="s">
        <v>225</v>
      </c>
      <c r="S37" s="12" t="s">
        <v>227</v>
      </c>
      <c r="T37" s="12" t="s">
        <v>229</v>
      </c>
      <c r="U37">
        <v>1</v>
      </c>
      <c r="V37">
        <v>0</v>
      </c>
      <c r="W37">
        <v>0</v>
      </c>
      <c r="X37" s="12" t="s">
        <v>243</v>
      </c>
      <c r="Y37">
        <v>21</v>
      </c>
      <c r="Z37">
        <v>13.2890625</v>
      </c>
      <c r="AA37" s="12" t="s">
        <v>55</v>
      </c>
      <c r="AB37" s="12" t="s">
        <v>288</v>
      </c>
      <c r="AC37" s="12"/>
    </row>
    <row r="38" spans="1:29" x14ac:dyDescent="0.25">
      <c r="A38">
        <v>595</v>
      </c>
      <c r="B38">
        <v>841</v>
      </c>
      <c r="C38">
        <v>0</v>
      </c>
      <c r="D38" s="12"/>
      <c r="E38" s="12"/>
      <c r="F38" s="12"/>
      <c r="I38" s="12"/>
      <c r="J38" s="12"/>
      <c r="K38" s="12"/>
      <c r="N38">
        <v>0.5</v>
      </c>
      <c r="O38">
        <v>0</v>
      </c>
      <c r="P38" s="12" t="s">
        <v>79</v>
      </c>
      <c r="Q38">
        <v>12</v>
      </c>
      <c r="R38" s="12" t="s">
        <v>225</v>
      </c>
      <c r="S38" s="12" t="s">
        <v>227</v>
      </c>
      <c r="T38" s="12" t="s">
        <v>229</v>
      </c>
      <c r="U38">
        <v>1</v>
      </c>
      <c r="V38">
        <v>0</v>
      </c>
      <c r="W38">
        <v>0</v>
      </c>
      <c r="X38" s="12" t="s">
        <v>244</v>
      </c>
      <c r="Y38">
        <v>26.677734000000001</v>
      </c>
      <c r="Z38">
        <v>13.2890625</v>
      </c>
      <c r="AA38" s="12" t="s">
        <v>55</v>
      </c>
      <c r="AB38" s="12" t="s">
        <v>288</v>
      </c>
      <c r="AC38" s="12"/>
    </row>
    <row r="39" spans="1:29" x14ac:dyDescent="0.25">
      <c r="A39">
        <v>595</v>
      </c>
      <c r="B39">
        <v>841</v>
      </c>
      <c r="C39">
        <v>0</v>
      </c>
      <c r="D39" s="12"/>
      <c r="E39" s="12"/>
      <c r="F39" s="12"/>
      <c r="I39" s="12"/>
      <c r="J39" s="12"/>
      <c r="K39" s="12"/>
      <c r="N39">
        <v>0.5</v>
      </c>
      <c r="O39">
        <v>0</v>
      </c>
      <c r="P39" s="12" t="s">
        <v>80</v>
      </c>
      <c r="Q39">
        <v>12</v>
      </c>
      <c r="R39" s="12" t="s">
        <v>225</v>
      </c>
      <c r="S39" s="12" t="s">
        <v>227</v>
      </c>
      <c r="T39" s="12" t="s">
        <v>229</v>
      </c>
      <c r="U39">
        <v>1</v>
      </c>
      <c r="V39">
        <v>0</v>
      </c>
      <c r="W39">
        <v>0</v>
      </c>
      <c r="X39" s="12"/>
      <c r="Y39">
        <v>3</v>
      </c>
      <c r="Z39">
        <v>13.2890625</v>
      </c>
      <c r="AA39" s="12" t="s">
        <v>55</v>
      </c>
      <c r="AB39" s="12" t="s">
        <v>288</v>
      </c>
      <c r="AC39" s="12"/>
    </row>
    <row r="40" spans="1:29" x14ac:dyDescent="0.25">
      <c r="A40">
        <v>595</v>
      </c>
      <c r="B40">
        <v>841</v>
      </c>
      <c r="C40">
        <v>0</v>
      </c>
      <c r="D40" s="12"/>
      <c r="E40" s="12"/>
      <c r="F40" s="12"/>
      <c r="I40" s="12"/>
      <c r="J40" s="12"/>
      <c r="K40" s="12"/>
      <c r="N40">
        <v>0.5</v>
      </c>
      <c r="O40">
        <v>0</v>
      </c>
      <c r="P40" s="12" t="s">
        <v>81</v>
      </c>
      <c r="Q40">
        <v>12</v>
      </c>
      <c r="R40" s="12" t="s">
        <v>225</v>
      </c>
      <c r="S40" s="12" t="s">
        <v>227</v>
      </c>
      <c r="T40" s="12" t="s">
        <v>229</v>
      </c>
      <c r="U40">
        <v>1</v>
      </c>
      <c r="V40">
        <v>0</v>
      </c>
      <c r="W40">
        <v>0</v>
      </c>
      <c r="X40" s="12" t="s">
        <v>245</v>
      </c>
      <c r="Y40">
        <v>14.660156000000001</v>
      </c>
      <c r="Z40">
        <v>13.2890625</v>
      </c>
      <c r="AA40" s="12" t="s">
        <v>55</v>
      </c>
      <c r="AB40" s="12" t="s">
        <v>288</v>
      </c>
      <c r="AC40" s="12"/>
    </row>
    <row r="41" spans="1:29" x14ac:dyDescent="0.25">
      <c r="A41">
        <v>595</v>
      </c>
      <c r="B41">
        <v>841</v>
      </c>
      <c r="C41">
        <v>0</v>
      </c>
      <c r="D41" s="12"/>
      <c r="E41" s="12"/>
      <c r="F41" s="12"/>
      <c r="I41" s="12"/>
      <c r="J41" s="12"/>
      <c r="K41" s="12"/>
      <c r="N41">
        <v>0.5</v>
      </c>
      <c r="O41">
        <v>0</v>
      </c>
      <c r="P41" s="12" t="s">
        <v>82</v>
      </c>
      <c r="Q41">
        <v>12</v>
      </c>
      <c r="R41" s="12" t="s">
        <v>225</v>
      </c>
      <c r="S41" s="12" t="s">
        <v>227</v>
      </c>
      <c r="T41" s="12" t="s">
        <v>229</v>
      </c>
      <c r="U41">
        <v>1</v>
      </c>
      <c r="V41">
        <v>0</v>
      </c>
      <c r="W41">
        <v>0</v>
      </c>
      <c r="X41" s="12"/>
      <c r="Y41">
        <v>3</v>
      </c>
      <c r="Z41">
        <v>13.2890625</v>
      </c>
      <c r="AA41" s="12" t="s">
        <v>55</v>
      </c>
      <c r="AB41" s="12" t="s">
        <v>288</v>
      </c>
      <c r="AC41" s="12"/>
    </row>
    <row r="42" spans="1:29" x14ac:dyDescent="0.25">
      <c r="A42">
        <v>595</v>
      </c>
      <c r="B42">
        <v>841</v>
      </c>
      <c r="C42">
        <v>0</v>
      </c>
      <c r="D42" s="12"/>
      <c r="E42" s="12"/>
      <c r="F42" s="12"/>
      <c r="I42" s="12"/>
      <c r="J42" s="12"/>
      <c r="K42" s="12"/>
      <c r="N42">
        <v>0.5</v>
      </c>
      <c r="O42">
        <v>0</v>
      </c>
      <c r="P42" s="12" t="s">
        <v>83</v>
      </c>
      <c r="Q42">
        <v>12</v>
      </c>
      <c r="R42" s="12" t="s">
        <v>225</v>
      </c>
      <c r="S42" s="12" t="s">
        <v>227</v>
      </c>
      <c r="T42" s="12" t="s">
        <v>229</v>
      </c>
      <c r="U42">
        <v>1</v>
      </c>
      <c r="V42">
        <v>0</v>
      </c>
      <c r="W42">
        <v>0</v>
      </c>
      <c r="X42" s="12" t="s">
        <v>246</v>
      </c>
      <c r="Y42">
        <v>30</v>
      </c>
      <c r="Z42">
        <v>13.2890625</v>
      </c>
      <c r="AA42" s="12" t="s">
        <v>55</v>
      </c>
      <c r="AB42" s="12" t="s">
        <v>288</v>
      </c>
      <c r="AC42" s="12"/>
    </row>
    <row r="43" spans="1:29" x14ac:dyDescent="0.25">
      <c r="A43">
        <v>595</v>
      </c>
      <c r="B43">
        <v>841</v>
      </c>
      <c r="C43">
        <v>0</v>
      </c>
      <c r="D43" s="12"/>
      <c r="E43" s="12"/>
      <c r="F43" s="12"/>
      <c r="I43" s="12"/>
      <c r="J43" s="12"/>
      <c r="K43" s="12"/>
      <c r="N43">
        <v>0.5</v>
      </c>
      <c r="O43">
        <v>0</v>
      </c>
      <c r="P43" s="12" t="s">
        <v>84</v>
      </c>
      <c r="Q43">
        <v>12</v>
      </c>
      <c r="R43" s="12" t="s">
        <v>225</v>
      </c>
      <c r="S43" s="12" t="s">
        <v>227</v>
      </c>
      <c r="T43" s="12" t="s">
        <v>229</v>
      </c>
      <c r="U43">
        <v>1</v>
      </c>
      <c r="V43">
        <v>0</v>
      </c>
      <c r="W43">
        <v>0</v>
      </c>
      <c r="X43" s="12"/>
      <c r="Y43">
        <v>3</v>
      </c>
      <c r="Z43">
        <v>13.2890625</v>
      </c>
      <c r="AA43" s="12" t="s">
        <v>55</v>
      </c>
      <c r="AB43" s="12" t="s">
        <v>288</v>
      </c>
      <c r="AC43" s="12"/>
    </row>
    <row r="44" spans="1:29" x14ac:dyDescent="0.25">
      <c r="A44">
        <v>595</v>
      </c>
      <c r="B44">
        <v>841</v>
      </c>
      <c r="C44">
        <v>0</v>
      </c>
      <c r="D44" s="12"/>
      <c r="E44" s="12"/>
      <c r="F44" s="12"/>
      <c r="I44" s="12"/>
      <c r="J44" s="12"/>
      <c r="K44" s="12"/>
      <c r="N44">
        <v>0.5</v>
      </c>
      <c r="O44">
        <v>0</v>
      </c>
      <c r="P44" s="12" t="s">
        <v>85</v>
      </c>
      <c r="Q44">
        <v>12</v>
      </c>
      <c r="R44" s="12" t="s">
        <v>225</v>
      </c>
      <c r="S44" s="12" t="s">
        <v>227</v>
      </c>
      <c r="T44" s="12" t="s">
        <v>229</v>
      </c>
      <c r="U44">
        <v>1</v>
      </c>
      <c r="V44">
        <v>0</v>
      </c>
      <c r="W44">
        <v>0</v>
      </c>
      <c r="X44" s="12" t="s">
        <v>238</v>
      </c>
      <c r="Y44">
        <v>21.996093999999999</v>
      </c>
      <c r="Z44">
        <v>13.2890625</v>
      </c>
      <c r="AA44" s="12" t="s">
        <v>55</v>
      </c>
      <c r="AB44" s="12" t="s">
        <v>288</v>
      </c>
      <c r="AC44" s="12"/>
    </row>
    <row r="45" spans="1:29" x14ac:dyDescent="0.25">
      <c r="A45">
        <v>595</v>
      </c>
      <c r="B45">
        <v>841</v>
      </c>
      <c r="C45">
        <v>0</v>
      </c>
      <c r="D45" s="12"/>
      <c r="E45" s="12"/>
      <c r="F45" s="12"/>
      <c r="I45" s="12"/>
      <c r="J45" s="12"/>
      <c r="K45" s="12"/>
      <c r="N45">
        <v>0.5</v>
      </c>
      <c r="O45">
        <v>0</v>
      </c>
      <c r="P45" s="12" t="s">
        <v>86</v>
      </c>
      <c r="Q45">
        <v>12</v>
      </c>
      <c r="R45" s="12" t="s">
        <v>226</v>
      </c>
      <c r="S45" s="12" t="s">
        <v>228</v>
      </c>
      <c r="T45" s="12" t="s">
        <v>229</v>
      </c>
      <c r="U45">
        <v>2</v>
      </c>
      <c r="V45">
        <v>0</v>
      </c>
      <c r="W45">
        <v>0</v>
      </c>
      <c r="X45" s="12" t="s">
        <v>247</v>
      </c>
      <c r="Y45">
        <v>199.92187999999999</v>
      </c>
      <c r="Z45">
        <v>13.2890625</v>
      </c>
      <c r="AA45" s="12" t="s">
        <v>55</v>
      </c>
      <c r="AB45" s="12" t="s">
        <v>288</v>
      </c>
      <c r="AC45" s="12"/>
    </row>
    <row r="46" spans="1:29" x14ac:dyDescent="0.25">
      <c r="A46">
        <v>595</v>
      </c>
      <c r="B46">
        <v>841</v>
      </c>
      <c r="C46">
        <v>0</v>
      </c>
      <c r="D46" s="12"/>
      <c r="E46" s="12"/>
      <c r="F46" s="12"/>
      <c r="I46" s="12"/>
      <c r="J46" s="12"/>
      <c r="K46" s="12"/>
      <c r="N46">
        <v>0.5</v>
      </c>
      <c r="O46">
        <v>0</v>
      </c>
      <c r="P46" s="12" t="s">
        <v>87</v>
      </c>
      <c r="Q46">
        <v>12</v>
      </c>
      <c r="R46" s="12" t="s">
        <v>226</v>
      </c>
      <c r="S46" s="12" t="s">
        <v>228</v>
      </c>
      <c r="T46" s="12" t="s">
        <v>229</v>
      </c>
      <c r="U46">
        <v>2</v>
      </c>
      <c r="V46">
        <v>0</v>
      </c>
      <c r="W46">
        <v>0</v>
      </c>
      <c r="X46" s="12" t="s">
        <v>248</v>
      </c>
      <c r="Y46">
        <v>9</v>
      </c>
      <c r="Z46">
        <v>13.2890625</v>
      </c>
      <c r="AA46" s="12" t="s">
        <v>55</v>
      </c>
      <c r="AB46" s="12" t="s">
        <v>288</v>
      </c>
      <c r="AC46" s="12"/>
    </row>
    <row r="47" spans="1:29" x14ac:dyDescent="0.25">
      <c r="A47">
        <v>595</v>
      </c>
      <c r="B47">
        <v>841</v>
      </c>
      <c r="C47">
        <v>0</v>
      </c>
      <c r="D47" s="12"/>
      <c r="E47" s="12"/>
      <c r="F47" s="12"/>
      <c r="I47" s="12"/>
      <c r="J47" s="12"/>
      <c r="K47" s="12"/>
      <c r="N47">
        <v>0.5</v>
      </c>
      <c r="O47">
        <v>0</v>
      </c>
      <c r="P47" s="12" t="s">
        <v>88</v>
      </c>
      <c r="Q47">
        <v>12</v>
      </c>
      <c r="R47" s="12" t="s">
        <v>226</v>
      </c>
      <c r="S47" s="12" t="s">
        <v>228</v>
      </c>
      <c r="T47" s="12" t="s">
        <v>229</v>
      </c>
      <c r="U47">
        <v>2</v>
      </c>
      <c r="V47">
        <v>0</v>
      </c>
      <c r="W47">
        <v>0</v>
      </c>
      <c r="X47" s="12"/>
      <c r="Y47">
        <v>3</v>
      </c>
      <c r="Z47">
        <v>13.2890625</v>
      </c>
      <c r="AA47" s="12" t="s">
        <v>55</v>
      </c>
      <c r="AB47" s="12" t="s">
        <v>288</v>
      </c>
      <c r="AC47" s="12"/>
    </row>
    <row r="48" spans="1:29" x14ac:dyDescent="0.25">
      <c r="A48">
        <v>595</v>
      </c>
      <c r="B48">
        <v>841</v>
      </c>
      <c r="C48">
        <v>0</v>
      </c>
      <c r="D48" s="12"/>
      <c r="E48" s="12"/>
      <c r="F48" s="12"/>
      <c r="I48" s="12"/>
      <c r="J48" s="12"/>
      <c r="K48" s="12"/>
      <c r="N48">
        <v>0.5</v>
      </c>
      <c r="O48">
        <v>0</v>
      </c>
      <c r="P48" s="12" t="s">
        <v>89</v>
      </c>
      <c r="Q48">
        <v>12</v>
      </c>
      <c r="R48" s="12" t="s">
        <v>226</v>
      </c>
      <c r="S48" s="12" t="s">
        <v>228</v>
      </c>
      <c r="T48" s="12" t="s">
        <v>229</v>
      </c>
      <c r="U48">
        <v>2</v>
      </c>
      <c r="V48">
        <v>0</v>
      </c>
      <c r="W48">
        <v>0</v>
      </c>
      <c r="X48" s="12" t="s">
        <v>249</v>
      </c>
      <c r="Y48">
        <v>60.644530000000003</v>
      </c>
      <c r="Z48">
        <v>13.2890625</v>
      </c>
      <c r="AA48" s="12" t="s">
        <v>55</v>
      </c>
      <c r="AB48" s="12" t="s">
        <v>288</v>
      </c>
      <c r="AC48" s="12"/>
    </row>
    <row r="49" spans="1:29" x14ac:dyDescent="0.25">
      <c r="A49">
        <v>595</v>
      </c>
      <c r="B49">
        <v>841</v>
      </c>
      <c r="C49">
        <v>0</v>
      </c>
      <c r="D49" s="12"/>
      <c r="E49" s="12"/>
      <c r="F49" s="12"/>
      <c r="I49" s="12"/>
      <c r="J49" s="12"/>
      <c r="K49" s="12"/>
      <c r="N49">
        <v>0.5</v>
      </c>
      <c r="O49">
        <v>0</v>
      </c>
      <c r="P49" s="12" t="s">
        <v>90</v>
      </c>
      <c r="Q49">
        <v>12</v>
      </c>
      <c r="R49" s="12" t="s">
        <v>226</v>
      </c>
      <c r="S49" s="12" t="s">
        <v>228</v>
      </c>
      <c r="T49" s="12" t="s">
        <v>229</v>
      </c>
      <c r="U49">
        <v>2</v>
      </c>
      <c r="V49">
        <v>0</v>
      </c>
      <c r="W49">
        <v>0</v>
      </c>
      <c r="X49" s="12"/>
      <c r="Y49">
        <v>3</v>
      </c>
      <c r="Z49">
        <v>13.2890625</v>
      </c>
      <c r="AA49" s="12" t="s">
        <v>55</v>
      </c>
      <c r="AB49" s="12" t="s">
        <v>288</v>
      </c>
      <c r="AC49" s="12"/>
    </row>
    <row r="50" spans="1:29" x14ac:dyDescent="0.25">
      <c r="A50">
        <v>595</v>
      </c>
      <c r="B50">
        <v>841</v>
      </c>
      <c r="C50">
        <v>0</v>
      </c>
      <c r="D50" s="12"/>
      <c r="E50" s="12"/>
      <c r="F50" s="12"/>
      <c r="I50" s="12"/>
      <c r="J50" s="12"/>
      <c r="K50" s="12"/>
      <c r="N50">
        <v>0.5</v>
      </c>
      <c r="O50">
        <v>0</v>
      </c>
      <c r="P50" s="12" t="s">
        <v>91</v>
      </c>
      <c r="Q50">
        <v>12</v>
      </c>
      <c r="R50" s="12" t="s">
        <v>226</v>
      </c>
      <c r="S50" s="12" t="s">
        <v>228</v>
      </c>
      <c r="T50" s="12" t="s">
        <v>229</v>
      </c>
      <c r="U50">
        <v>2</v>
      </c>
      <c r="V50">
        <v>0</v>
      </c>
      <c r="W50">
        <v>0</v>
      </c>
      <c r="X50" s="12" t="s">
        <v>250</v>
      </c>
      <c r="Y50">
        <v>6</v>
      </c>
      <c r="Z50">
        <v>13.2890625</v>
      </c>
      <c r="AA50" s="12" t="s">
        <v>55</v>
      </c>
      <c r="AB50" s="12" t="s">
        <v>288</v>
      </c>
      <c r="AC50" s="12"/>
    </row>
    <row r="51" spans="1:29" x14ac:dyDescent="0.25">
      <c r="A51">
        <v>595</v>
      </c>
      <c r="B51">
        <v>841</v>
      </c>
      <c r="C51">
        <v>0</v>
      </c>
      <c r="D51" s="12"/>
      <c r="E51" s="12"/>
      <c r="F51" s="12"/>
      <c r="I51" s="12"/>
      <c r="J51" s="12"/>
      <c r="K51" s="12"/>
      <c r="N51">
        <v>0.5</v>
      </c>
      <c r="O51">
        <v>0</v>
      </c>
      <c r="P51" s="12" t="s">
        <v>92</v>
      </c>
      <c r="Q51">
        <v>12</v>
      </c>
      <c r="R51" s="12" t="s">
        <v>226</v>
      </c>
      <c r="S51" s="12" t="s">
        <v>228</v>
      </c>
      <c r="T51" s="12" t="s">
        <v>229</v>
      </c>
      <c r="U51">
        <v>2</v>
      </c>
      <c r="V51">
        <v>0</v>
      </c>
      <c r="W51">
        <v>0</v>
      </c>
      <c r="X51" s="12"/>
      <c r="Y51">
        <v>3</v>
      </c>
      <c r="Z51">
        <v>13.2890625</v>
      </c>
      <c r="AA51" s="12" t="s">
        <v>55</v>
      </c>
      <c r="AB51" s="12" t="s">
        <v>288</v>
      </c>
      <c r="AC51" s="12"/>
    </row>
    <row r="52" spans="1:29" x14ac:dyDescent="0.25">
      <c r="A52">
        <v>595</v>
      </c>
      <c r="B52">
        <v>841</v>
      </c>
      <c r="C52">
        <v>0</v>
      </c>
      <c r="D52" s="12"/>
      <c r="E52" s="12"/>
      <c r="F52" s="12"/>
      <c r="I52" s="12"/>
      <c r="J52" s="12"/>
      <c r="K52" s="12"/>
      <c r="N52">
        <v>0.5</v>
      </c>
      <c r="O52">
        <v>0</v>
      </c>
      <c r="P52" s="12" t="s">
        <v>93</v>
      </c>
      <c r="Q52">
        <v>12</v>
      </c>
      <c r="R52" s="12" t="s">
        <v>226</v>
      </c>
      <c r="S52" s="12" t="s">
        <v>228</v>
      </c>
      <c r="T52" s="12" t="s">
        <v>229</v>
      </c>
      <c r="U52">
        <v>2</v>
      </c>
      <c r="V52">
        <v>0</v>
      </c>
      <c r="W52">
        <v>0</v>
      </c>
      <c r="X52" s="12" t="s">
        <v>251</v>
      </c>
      <c r="Y52">
        <v>33</v>
      </c>
      <c r="Z52">
        <v>13.2890625</v>
      </c>
      <c r="AA52" s="12" t="s">
        <v>55</v>
      </c>
      <c r="AB52" s="12" t="s">
        <v>288</v>
      </c>
      <c r="AC52" s="12"/>
    </row>
    <row r="53" spans="1:29" x14ac:dyDescent="0.25">
      <c r="A53">
        <v>595</v>
      </c>
      <c r="B53">
        <v>841</v>
      </c>
      <c r="C53">
        <v>0</v>
      </c>
      <c r="D53" s="12"/>
      <c r="E53" s="12"/>
      <c r="F53" s="12"/>
      <c r="I53" s="12"/>
      <c r="J53" s="12"/>
      <c r="K53" s="12"/>
      <c r="N53">
        <v>0.5</v>
      </c>
      <c r="O53">
        <v>0</v>
      </c>
      <c r="P53" s="12" t="s">
        <v>94</v>
      </c>
      <c r="Q53">
        <v>12</v>
      </c>
      <c r="R53" s="12" t="s">
        <v>226</v>
      </c>
      <c r="S53" s="12" t="s">
        <v>228</v>
      </c>
      <c r="T53" s="12" t="s">
        <v>229</v>
      </c>
      <c r="U53">
        <v>2</v>
      </c>
      <c r="V53">
        <v>0</v>
      </c>
      <c r="W53">
        <v>0</v>
      </c>
      <c r="X53" s="12"/>
      <c r="Y53">
        <v>3</v>
      </c>
      <c r="Z53">
        <v>13.2890625</v>
      </c>
      <c r="AA53" s="12" t="s">
        <v>55</v>
      </c>
      <c r="AB53" s="12" t="s">
        <v>288</v>
      </c>
      <c r="AC53" s="12"/>
    </row>
    <row r="54" spans="1:29" x14ac:dyDescent="0.25">
      <c r="A54">
        <v>595</v>
      </c>
      <c r="B54">
        <v>841</v>
      </c>
      <c r="C54">
        <v>0</v>
      </c>
      <c r="D54" s="12"/>
      <c r="E54" s="12"/>
      <c r="F54" s="12"/>
      <c r="I54" s="12"/>
      <c r="J54" s="12"/>
      <c r="K54" s="12"/>
      <c r="N54">
        <v>0.5</v>
      </c>
      <c r="O54">
        <v>0</v>
      </c>
      <c r="P54" s="12" t="s">
        <v>95</v>
      </c>
      <c r="Q54">
        <v>12</v>
      </c>
      <c r="R54" s="12" t="s">
        <v>226</v>
      </c>
      <c r="S54" s="12" t="s">
        <v>228</v>
      </c>
      <c r="T54" s="12" t="s">
        <v>229</v>
      </c>
      <c r="U54">
        <v>2</v>
      </c>
      <c r="V54">
        <v>0</v>
      </c>
      <c r="W54">
        <v>0</v>
      </c>
      <c r="X54" s="12" t="s">
        <v>252</v>
      </c>
      <c r="Y54">
        <v>110.30859</v>
      </c>
      <c r="Z54">
        <v>13.2890625</v>
      </c>
      <c r="AA54" s="12" t="s">
        <v>55</v>
      </c>
      <c r="AB54" s="12" t="s">
        <v>288</v>
      </c>
      <c r="AC54" s="12"/>
    </row>
    <row r="55" spans="1:29" x14ac:dyDescent="0.25">
      <c r="A55">
        <v>595</v>
      </c>
      <c r="B55">
        <v>841</v>
      </c>
      <c r="C55">
        <v>0</v>
      </c>
      <c r="D55" s="12"/>
      <c r="E55" s="12"/>
      <c r="F55" s="12"/>
      <c r="I55" s="12"/>
      <c r="J55" s="12"/>
      <c r="K55" s="12"/>
      <c r="N55">
        <v>0.5</v>
      </c>
      <c r="O55">
        <v>0</v>
      </c>
      <c r="P55" s="12" t="s">
        <v>96</v>
      </c>
      <c r="Q55">
        <v>12</v>
      </c>
      <c r="R55" s="12" t="s">
        <v>226</v>
      </c>
      <c r="S55" s="12" t="s">
        <v>228</v>
      </c>
      <c r="T55" s="12" t="s">
        <v>229</v>
      </c>
      <c r="U55">
        <v>2</v>
      </c>
      <c r="V55">
        <v>0</v>
      </c>
      <c r="W55">
        <v>0</v>
      </c>
      <c r="X55" s="12"/>
      <c r="Y55">
        <v>3</v>
      </c>
      <c r="Z55">
        <v>13.2890625</v>
      </c>
      <c r="AA55" s="12" t="s">
        <v>55</v>
      </c>
      <c r="AB55" s="12" t="s">
        <v>288</v>
      </c>
      <c r="AC55" s="12"/>
    </row>
    <row r="56" spans="1:29" x14ac:dyDescent="0.25">
      <c r="A56">
        <v>595</v>
      </c>
      <c r="B56">
        <v>841</v>
      </c>
      <c r="C56">
        <v>0</v>
      </c>
      <c r="D56" s="12"/>
      <c r="E56" s="12"/>
      <c r="F56" s="12"/>
      <c r="I56" s="12"/>
      <c r="J56" s="12"/>
      <c r="K56" s="12"/>
      <c r="N56">
        <v>0.5</v>
      </c>
      <c r="O56">
        <v>0</v>
      </c>
      <c r="P56" s="12" t="s">
        <v>97</v>
      </c>
      <c r="Q56">
        <v>12</v>
      </c>
      <c r="R56" s="12" t="s">
        <v>226</v>
      </c>
      <c r="S56" s="12" t="s">
        <v>228</v>
      </c>
      <c r="T56" s="12" t="s">
        <v>229</v>
      </c>
      <c r="U56">
        <v>2</v>
      </c>
      <c r="V56">
        <v>0</v>
      </c>
      <c r="W56">
        <v>0</v>
      </c>
      <c r="X56" s="12" t="s">
        <v>253</v>
      </c>
      <c r="Y56">
        <v>67.664060000000006</v>
      </c>
      <c r="Z56">
        <v>13.2890625</v>
      </c>
      <c r="AA56" s="12" t="s">
        <v>55</v>
      </c>
      <c r="AB56" s="12" t="s">
        <v>288</v>
      </c>
      <c r="AC56" s="12"/>
    </row>
    <row r="57" spans="1:29" x14ac:dyDescent="0.25">
      <c r="A57">
        <v>595</v>
      </c>
      <c r="B57">
        <v>841</v>
      </c>
      <c r="C57">
        <v>0</v>
      </c>
      <c r="D57" s="12"/>
      <c r="E57" s="12"/>
      <c r="F57" s="12"/>
      <c r="I57" s="12"/>
      <c r="J57" s="12"/>
      <c r="K57" s="12"/>
      <c r="N57">
        <v>0.5</v>
      </c>
      <c r="O57">
        <v>0</v>
      </c>
      <c r="P57" s="12" t="s">
        <v>98</v>
      </c>
      <c r="Q57">
        <v>12</v>
      </c>
      <c r="R57" s="12" t="s">
        <v>226</v>
      </c>
      <c r="S57" s="12" t="s">
        <v>228</v>
      </c>
      <c r="T57" s="12" t="s">
        <v>229</v>
      </c>
      <c r="U57">
        <v>2</v>
      </c>
      <c r="V57">
        <v>0</v>
      </c>
      <c r="W57">
        <v>0</v>
      </c>
      <c r="X57" s="12"/>
      <c r="Y57">
        <v>3</v>
      </c>
      <c r="Z57">
        <v>13.2890625</v>
      </c>
      <c r="AA57" s="12" t="s">
        <v>55</v>
      </c>
      <c r="AB57" s="12" t="s">
        <v>288</v>
      </c>
      <c r="AC57" s="12"/>
    </row>
    <row r="58" spans="1:29" x14ac:dyDescent="0.25">
      <c r="A58">
        <v>595</v>
      </c>
      <c r="B58">
        <v>841</v>
      </c>
      <c r="C58">
        <v>0</v>
      </c>
      <c r="D58" s="12"/>
      <c r="E58" s="12"/>
      <c r="F58" s="12"/>
      <c r="I58" s="12"/>
      <c r="J58" s="12"/>
      <c r="K58" s="12"/>
      <c r="N58">
        <v>0.5</v>
      </c>
      <c r="O58">
        <v>0</v>
      </c>
      <c r="P58" s="12" t="s">
        <v>99</v>
      </c>
      <c r="Q58">
        <v>12</v>
      </c>
      <c r="R58" s="12" t="s">
        <v>226</v>
      </c>
      <c r="S58" s="12" t="s">
        <v>228</v>
      </c>
      <c r="T58" s="12" t="s">
        <v>229</v>
      </c>
      <c r="U58">
        <v>2</v>
      </c>
      <c r="V58">
        <v>0</v>
      </c>
      <c r="W58">
        <v>0</v>
      </c>
      <c r="X58" s="12" t="s">
        <v>254</v>
      </c>
      <c r="Y58">
        <v>6</v>
      </c>
      <c r="Z58">
        <v>13.2890625</v>
      </c>
      <c r="AA58" s="12" t="s">
        <v>55</v>
      </c>
      <c r="AB58" s="12" t="s">
        <v>288</v>
      </c>
      <c r="AC58" s="12"/>
    </row>
    <row r="59" spans="1:29" x14ac:dyDescent="0.25">
      <c r="A59">
        <v>595</v>
      </c>
      <c r="B59">
        <v>841</v>
      </c>
      <c r="C59">
        <v>0</v>
      </c>
      <c r="D59" s="12"/>
      <c r="E59" s="12"/>
      <c r="F59" s="12"/>
      <c r="I59" s="12"/>
      <c r="J59" s="12"/>
      <c r="K59" s="12"/>
      <c r="N59">
        <v>0.5</v>
      </c>
      <c r="O59">
        <v>0</v>
      </c>
      <c r="P59" s="12" t="s">
        <v>100</v>
      </c>
      <c r="Q59">
        <v>12</v>
      </c>
      <c r="R59" s="12" t="s">
        <v>226</v>
      </c>
      <c r="S59" s="12" t="s">
        <v>228</v>
      </c>
      <c r="T59" s="12" t="s">
        <v>229</v>
      </c>
      <c r="U59">
        <v>2</v>
      </c>
      <c r="V59">
        <v>0</v>
      </c>
      <c r="W59">
        <v>0</v>
      </c>
      <c r="X59" s="12"/>
      <c r="Y59">
        <v>3</v>
      </c>
      <c r="Z59">
        <v>13.2890625</v>
      </c>
      <c r="AA59" s="12" t="s">
        <v>55</v>
      </c>
      <c r="AB59" s="12" t="s">
        <v>288</v>
      </c>
      <c r="AC59" s="12"/>
    </row>
    <row r="60" spans="1:29" x14ac:dyDescent="0.25">
      <c r="A60">
        <v>595</v>
      </c>
      <c r="B60">
        <v>841</v>
      </c>
      <c r="C60">
        <v>0</v>
      </c>
      <c r="D60" s="12"/>
      <c r="E60" s="12"/>
      <c r="F60" s="12"/>
      <c r="I60" s="12"/>
      <c r="J60" s="12"/>
      <c r="K60" s="12"/>
      <c r="N60">
        <v>0.5</v>
      </c>
      <c r="O60">
        <v>0</v>
      </c>
      <c r="P60" s="12" t="s">
        <v>101</v>
      </c>
      <c r="Q60">
        <v>12</v>
      </c>
      <c r="R60" s="12" t="s">
        <v>226</v>
      </c>
      <c r="S60" s="12" t="s">
        <v>228</v>
      </c>
      <c r="T60" s="12" t="s">
        <v>229</v>
      </c>
      <c r="U60">
        <v>2</v>
      </c>
      <c r="V60">
        <v>0</v>
      </c>
      <c r="W60">
        <v>0</v>
      </c>
      <c r="X60" s="12" t="s">
        <v>255</v>
      </c>
      <c r="Y60">
        <v>27</v>
      </c>
      <c r="Z60">
        <v>13.2890625</v>
      </c>
      <c r="AA60" s="12" t="s">
        <v>55</v>
      </c>
      <c r="AB60" s="12" t="s">
        <v>288</v>
      </c>
      <c r="AC60" s="12"/>
    </row>
    <row r="61" spans="1:29" x14ac:dyDescent="0.25">
      <c r="A61">
        <v>595</v>
      </c>
      <c r="B61">
        <v>841</v>
      </c>
      <c r="C61">
        <v>0</v>
      </c>
      <c r="D61" s="12"/>
      <c r="E61" s="12"/>
      <c r="F61" s="12"/>
      <c r="I61" s="12"/>
      <c r="J61" s="12"/>
      <c r="K61" s="12"/>
      <c r="N61">
        <v>0.5</v>
      </c>
      <c r="O61">
        <v>0</v>
      </c>
      <c r="P61" s="12" t="s">
        <v>102</v>
      </c>
      <c r="Q61">
        <v>12</v>
      </c>
      <c r="R61" s="12" t="s">
        <v>226</v>
      </c>
      <c r="S61" s="12" t="s">
        <v>228</v>
      </c>
      <c r="T61" s="12" t="s">
        <v>229</v>
      </c>
      <c r="U61">
        <v>2</v>
      </c>
      <c r="V61">
        <v>0</v>
      </c>
      <c r="W61">
        <v>0</v>
      </c>
      <c r="X61" s="12"/>
      <c r="Y61">
        <v>3</v>
      </c>
      <c r="Z61">
        <v>13.2890625</v>
      </c>
      <c r="AA61" s="12" t="s">
        <v>55</v>
      </c>
      <c r="AB61" s="12" t="s">
        <v>288</v>
      </c>
      <c r="AC61" s="12"/>
    </row>
    <row r="62" spans="1:29" x14ac:dyDescent="0.25">
      <c r="A62">
        <v>595</v>
      </c>
      <c r="B62">
        <v>841</v>
      </c>
      <c r="C62">
        <v>0</v>
      </c>
      <c r="D62" s="12"/>
      <c r="E62" s="12"/>
      <c r="F62" s="12"/>
      <c r="I62" s="12"/>
      <c r="J62" s="12"/>
      <c r="K62" s="12"/>
      <c r="N62">
        <v>0.5</v>
      </c>
      <c r="O62">
        <v>0</v>
      </c>
      <c r="P62" s="12" t="s">
        <v>103</v>
      </c>
      <c r="Q62">
        <v>12</v>
      </c>
      <c r="R62" s="12" t="s">
        <v>226</v>
      </c>
      <c r="S62" s="12" t="s">
        <v>228</v>
      </c>
      <c r="T62" s="12" t="s">
        <v>229</v>
      </c>
      <c r="U62">
        <v>2</v>
      </c>
      <c r="V62">
        <v>0</v>
      </c>
      <c r="W62">
        <v>0</v>
      </c>
      <c r="X62" s="12" t="s">
        <v>256</v>
      </c>
      <c r="Y62">
        <v>27.996093999999999</v>
      </c>
      <c r="Z62">
        <v>13.2890625</v>
      </c>
      <c r="AA62" s="12" t="s">
        <v>55</v>
      </c>
      <c r="AB62" s="12" t="s">
        <v>288</v>
      </c>
      <c r="AC62" s="12"/>
    </row>
    <row r="63" spans="1:29" x14ac:dyDescent="0.25">
      <c r="A63">
        <v>595</v>
      </c>
      <c r="B63">
        <v>841</v>
      </c>
      <c r="C63">
        <v>0</v>
      </c>
      <c r="D63" s="12"/>
      <c r="E63" s="12"/>
      <c r="F63" s="12"/>
      <c r="I63" s="12"/>
      <c r="J63" s="12"/>
      <c r="K63" s="12"/>
      <c r="N63">
        <v>0.5</v>
      </c>
      <c r="O63">
        <v>0</v>
      </c>
      <c r="P63" s="12" t="s">
        <v>104</v>
      </c>
      <c r="Q63">
        <v>12</v>
      </c>
      <c r="R63" s="12" t="s">
        <v>226</v>
      </c>
      <c r="S63" s="12" t="s">
        <v>228</v>
      </c>
      <c r="T63" s="12" t="s">
        <v>229</v>
      </c>
      <c r="U63">
        <v>2</v>
      </c>
      <c r="V63">
        <v>0</v>
      </c>
      <c r="W63">
        <v>0</v>
      </c>
      <c r="X63" s="12" t="s">
        <v>257</v>
      </c>
      <c r="Y63">
        <v>27.996093999999999</v>
      </c>
      <c r="Z63">
        <v>13.2890625</v>
      </c>
      <c r="AA63" s="12" t="s">
        <v>55</v>
      </c>
      <c r="AB63" s="12" t="s">
        <v>288</v>
      </c>
      <c r="AC63" s="12"/>
    </row>
    <row r="64" spans="1:29" x14ac:dyDescent="0.25">
      <c r="A64">
        <v>595</v>
      </c>
      <c r="B64">
        <v>841</v>
      </c>
      <c r="C64">
        <v>0</v>
      </c>
      <c r="D64" s="12"/>
      <c r="E64" s="12"/>
      <c r="F64" s="12"/>
      <c r="I64" s="12"/>
      <c r="J64" s="12"/>
      <c r="K64" s="12"/>
      <c r="N64">
        <v>0.5</v>
      </c>
      <c r="O64">
        <v>0</v>
      </c>
      <c r="P64" s="12" t="s">
        <v>105</v>
      </c>
      <c r="Q64">
        <v>12</v>
      </c>
      <c r="R64" s="12" t="s">
        <v>226</v>
      </c>
      <c r="S64" s="12" t="s">
        <v>228</v>
      </c>
      <c r="T64" s="12" t="s">
        <v>229</v>
      </c>
      <c r="U64">
        <v>2</v>
      </c>
      <c r="V64">
        <v>0</v>
      </c>
      <c r="W64">
        <v>0</v>
      </c>
      <c r="X64" s="12"/>
      <c r="Y64">
        <v>3</v>
      </c>
      <c r="Z64">
        <v>13.2890625</v>
      </c>
      <c r="AA64" s="12" t="s">
        <v>55</v>
      </c>
      <c r="AB64" s="12" t="s">
        <v>288</v>
      </c>
      <c r="AC64" s="12"/>
    </row>
    <row r="65" spans="1:29" x14ac:dyDescent="0.25">
      <c r="A65">
        <v>595</v>
      </c>
      <c r="B65">
        <v>841</v>
      </c>
      <c r="C65">
        <v>0</v>
      </c>
      <c r="D65" s="12"/>
      <c r="E65" s="12"/>
      <c r="F65" s="12"/>
      <c r="I65" s="12"/>
      <c r="J65" s="12"/>
      <c r="K65" s="12"/>
      <c r="N65">
        <v>0.5</v>
      </c>
      <c r="O65">
        <v>0</v>
      </c>
      <c r="P65" s="12" t="s">
        <v>106</v>
      </c>
      <c r="Q65">
        <v>12</v>
      </c>
      <c r="R65" s="12" t="s">
        <v>225</v>
      </c>
      <c r="S65" s="12" t="s">
        <v>227</v>
      </c>
      <c r="T65" s="12" t="s">
        <v>229</v>
      </c>
      <c r="U65">
        <v>1</v>
      </c>
      <c r="V65">
        <v>0</v>
      </c>
      <c r="W65">
        <v>0</v>
      </c>
      <c r="X65" s="12" t="s">
        <v>258</v>
      </c>
      <c r="Y65">
        <v>75.685550000000006</v>
      </c>
      <c r="Z65">
        <v>13.2890625</v>
      </c>
      <c r="AA65" s="12" t="s">
        <v>55</v>
      </c>
      <c r="AB65" s="12" t="s">
        <v>288</v>
      </c>
      <c r="AC65" s="12"/>
    </row>
    <row r="66" spans="1:29" x14ac:dyDescent="0.25">
      <c r="A66">
        <v>595</v>
      </c>
      <c r="B66">
        <v>841</v>
      </c>
      <c r="C66">
        <v>0</v>
      </c>
      <c r="D66" s="12"/>
      <c r="E66" s="12"/>
      <c r="F66" s="12"/>
      <c r="I66" s="12"/>
      <c r="J66" s="12"/>
      <c r="K66" s="12"/>
      <c r="N66">
        <v>0.5</v>
      </c>
      <c r="O66">
        <v>0</v>
      </c>
      <c r="P66" s="12" t="s">
        <v>107</v>
      </c>
      <c r="Q66">
        <v>12</v>
      </c>
      <c r="R66" s="12" t="s">
        <v>225</v>
      </c>
      <c r="S66" s="12" t="s">
        <v>227</v>
      </c>
      <c r="T66" s="12" t="s">
        <v>229</v>
      </c>
      <c r="U66">
        <v>1</v>
      </c>
      <c r="V66">
        <v>0</v>
      </c>
      <c r="W66">
        <v>0</v>
      </c>
      <c r="X66" s="12"/>
      <c r="Y66">
        <v>3</v>
      </c>
      <c r="Z66">
        <v>13.2890625</v>
      </c>
      <c r="AA66" s="12" t="s">
        <v>55</v>
      </c>
      <c r="AB66" s="12" t="s">
        <v>288</v>
      </c>
      <c r="AC66" s="12"/>
    </row>
    <row r="67" spans="1:29" x14ac:dyDescent="0.25">
      <c r="A67">
        <v>595</v>
      </c>
      <c r="B67">
        <v>841</v>
      </c>
      <c r="C67">
        <v>0</v>
      </c>
      <c r="D67" s="12"/>
      <c r="E67" s="12"/>
      <c r="F67" s="12"/>
      <c r="I67" s="12"/>
      <c r="J67" s="12"/>
      <c r="K67" s="12"/>
      <c r="N67">
        <v>0.5</v>
      </c>
      <c r="O67">
        <v>0</v>
      </c>
      <c r="P67" s="12" t="s">
        <v>108</v>
      </c>
      <c r="Q67">
        <v>12</v>
      </c>
      <c r="R67" s="12" t="s">
        <v>225</v>
      </c>
      <c r="S67" s="12" t="s">
        <v>227</v>
      </c>
      <c r="T67" s="12" t="s">
        <v>229</v>
      </c>
      <c r="U67">
        <v>1</v>
      </c>
      <c r="V67">
        <v>0</v>
      </c>
      <c r="W67">
        <v>0</v>
      </c>
      <c r="X67" s="12" t="s">
        <v>259</v>
      </c>
      <c r="Y67">
        <v>58.664062000000001</v>
      </c>
      <c r="Z67">
        <v>13.2890625</v>
      </c>
      <c r="AA67" s="12" t="s">
        <v>55</v>
      </c>
      <c r="AB67" s="12" t="s">
        <v>288</v>
      </c>
      <c r="AC67" s="12"/>
    </row>
    <row r="68" spans="1:29" x14ac:dyDescent="0.25">
      <c r="A68">
        <v>595</v>
      </c>
      <c r="B68">
        <v>841</v>
      </c>
      <c r="C68">
        <v>0</v>
      </c>
      <c r="D68" s="12"/>
      <c r="E68" s="12"/>
      <c r="F68" s="12"/>
      <c r="I68" s="12"/>
      <c r="J68" s="12"/>
      <c r="K68" s="12"/>
      <c r="N68">
        <v>0.5</v>
      </c>
      <c r="O68">
        <v>0</v>
      </c>
      <c r="P68" s="12" t="s">
        <v>109</v>
      </c>
      <c r="Q68">
        <v>12</v>
      </c>
      <c r="R68" s="12" t="s">
        <v>225</v>
      </c>
      <c r="S68" s="12" t="s">
        <v>227</v>
      </c>
      <c r="T68" s="12" t="s">
        <v>229</v>
      </c>
      <c r="U68">
        <v>1</v>
      </c>
      <c r="V68">
        <v>0</v>
      </c>
      <c r="W68">
        <v>0</v>
      </c>
      <c r="X68" s="12" t="s">
        <v>233</v>
      </c>
      <c r="Y68">
        <v>18.65625</v>
      </c>
      <c r="Z68">
        <v>13.2890625</v>
      </c>
      <c r="AA68" s="12" t="s">
        <v>55</v>
      </c>
      <c r="AB68" s="12" t="s">
        <v>288</v>
      </c>
      <c r="AC68" s="12"/>
    </row>
    <row r="69" spans="1:29" x14ac:dyDescent="0.25">
      <c r="A69">
        <v>595</v>
      </c>
      <c r="B69">
        <v>841</v>
      </c>
      <c r="C69">
        <v>0</v>
      </c>
      <c r="D69" s="12"/>
      <c r="E69" s="12"/>
      <c r="F69" s="12"/>
      <c r="I69" s="12"/>
      <c r="J69" s="12"/>
      <c r="K69" s="12"/>
      <c r="N69">
        <v>0.5</v>
      </c>
      <c r="O69">
        <v>0</v>
      </c>
      <c r="P69" s="12" t="s">
        <v>110</v>
      </c>
      <c r="Q69">
        <v>12</v>
      </c>
      <c r="R69" s="12" t="s">
        <v>225</v>
      </c>
      <c r="S69" s="12" t="s">
        <v>227</v>
      </c>
      <c r="T69" s="12" t="s">
        <v>229</v>
      </c>
      <c r="U69">
        <v>1</v>
      </c>
      <c r="V69">
        <v>0</v>
      </c>
      <c r="W69">
        <v>0</v>
      </c>
      <c r="X69" s="12"/>
      <c r="Y69">
        <v>3</v>
      </c>
      <c r="Z69">
        <v>13.2890625</v>
      </c>
      <c r="AA69" s="12" t="s">
        <v>55</v>
      </c>
      <c r="AB69" s="12" t="s">
        <v>288</v>
      </c>
      <c r="AC69" s="12"/>
    </row>
    <row r="70" spans="1:29" x14ac:dyDescent="0.25">
      <c r="A70">
        <v>595</v>
      </c>
      <c r="B70">
        <v>841</v>
      </c>
      <c r="C70">
        <v>0</v>
      </c>
      <c r="D70" s="12"/>
      <c r="E70" s="12"/>
      <c r="F70" s="12"/>
      <c r="I70" s="12"/>
      <c r="J70" s="12"/>
      <c r="K70" s="12"/>
      <c r="N70">
        <v>0.5</v>
      </c>
      <c r="O70">
        <v>0</v>
      </c>
      <c r="P70" s="12" t="s">
        <v>111</v>
      </c>
      <c r="Q70">
        <v>12</v>
      </c>
      <c r="R70" s="12" t="s">
        <v>225</v>
      </c>
      <c r="S70" s="12" t="s">
        <v>227</v>
      </c>
      <c r="T70" s="12" t="s">
        <v>229</v>
      </c>
      <c r="U70">
        <v>1</v>
      </c>
      <c r="V70">
        <v>0</v>
      </c>
      <c r="W70">
        <v>0</v>
      </c>
      <c r="X70" s="12" t="s">
        <v>260</v>
      </c>
      <c r="Y70">
        <v>35.332030000000003</v>
      </c>
      <c r="Z70">
        <v>13.2890625</v>
      </c>
      <c r="AA70" s="12" t="s">
        <v>55</v>
      </c>
      <c r="AB70" s="12" t="s">
        <v>288</v>
      </c>
      <c r="AC70" s="12"/>
    </row>
    <row r="71" spans="1:29" x14ac:dyDescent="0.25">
      <c r="A71">
        <v>595</v>
      </c>
      <c r="B71">
        <v>841</v>
      </c>
      <c r="C71">
        <v>0</v>
      </c>
      <c r="D71" s="12"/>
      <c r="E71" s="12"/>
      <c r="F71" s="12"/>
      <c r="I71" s="12"/>
      <c r="J71" s="12"/>
      <c r="K71" s="12"/>
      <c r="N71">
        <v>0.5</v>
      </c>
      <c r="O71">
        <v>0</v>
      </c>
      <c r="P71" s="12" t="s">
        <v>112</v>
      </c>
      <c r="Q71">
        <v>12</v>
      </c>
      <c r="R71" s="12" t="s">
        <v>225</v>
      </c>
      <c r="S71" s="12" t="s">
        <v>227</v>
      </c>
      <c r="T71" s="12" t="s">
        <v>229</v>
      </c>
      <c r="U71">
        <v>1</v>
      </c>
      <c r="V71">
        <v>0</v>
      </c>
      <c r="W71">
        <v>0</v>
      </c>
      <c r="X71" s="12"/>
      <c r="Y71">
        <v>3</v>
      </c>
      <c r="Z71">
        <v>13.2890625</v>
      </c>
      <c r="AA71" s="12" t="s">
        <v>55</v>
      </c>
      <c r="AB71" s="12" t="s">
        <v>288</v>
      </c>
      <c r="AC71" s="12"/>
    </row>
    <row r="72" spans="1:29" x14ac:dyDescent="0.25">
      <c r="A72">
        <v>595</v>
      </c>
      <c r="B72">
        <v>841</v>
      </c>
      <c r="C72">
        <v>0</v>
      </c>
      <c r="D72" s="12"/>
      <c r="E72" s="12"/>
      <c r="F72" s="12"/>
      <c r="I72" s="12"/>
      <c r="J72" s="12"/>
      <c r="K72" s="12"/>
      <c r="N72">
        <v>0.5</v>
      </c>
      <c r="O72">
        <v>0</v>
      </c>
      <c r="P72" s="12" t="s">
        <v>113</v>
      </c>
      <c r="Q72">
        <v>12</v>
      </c>
      <c r="R72" s="12" t="s">
        <v>225</v>
      </c>
      <c r="S72" s="12" t="s">
        <v>227</v>
      </c>
      <c r="T72" s="12" t="s">
        <v>229</v>
      </c>
      <c r="U72">
        <v>1</v>
      </c>
      <c r="V72">
        <v>0</v>
      </c>
      <c r="W72">
        <v>0</v>
      </c>
      <c r="X72" s="12" t="s">
        <v>261</v>
      </c>
      <c r="Y72">
        <v>14.677733999999999</v>
      </c>
      <c r="Z72">
        <v>13.2890625</v>
      </c>
      <c r="AA72" s="12" t="s">
        <v>55</v>
      </c>
      <c r="AB72" s="12" t="s">
        <v>288</v>
      </c>
      <c r="AC72" s="12"/>
    </row>
    <row r="73" spans="1:29" x14ac:dyDescent="0.25">
      <c r="A73">
        <v>595</v>
      </c>
      <c r="B73">
        <v>841</v>
      </c>
      <c r="C73">
        <v>0</v>
      </c>
      <c r="D73" s="12"/>
      <c r="E73" s="12"/>
      <c r="F73" s="12"/>
      <c r="I73" s="12"/>
      <c r="J73" s="12"/>
      <c r="K73" s="12"/>
      <c r="N73">
        <v>0.5</v>
      </c>
      <c r="O73">
        <v>0</v>
      </c>
      <c r="P73" s="12" t="s">
        <v>114</v>
      </c>
      <c r="Q73">
        <v>12</v>
      </c>
      <c r="R73" s="12" t="s">
        <v>225</v>
      </c>
      <c r="S73" s="12" t="s">
        <v>227</v>
      </c>
      <c r="T73" s="12" t="s">
        <v>229</v>
      </c>
      <c r="U73">
        <v>1</v>
      </c>
      <c r="V73">
        <v>0</v>
      </c>
      <c r="W73">
        <v>0</v>
      </c>
      <c r="X73" s="12"/>
      <c r="Y73">
        <v>3</v>
      </c>
      <c r="Z73">
        <v>13.2890625</v>
      </c>
      <c r="AA73" s="12" t="s">
        <v>55</v>
      </c>
      <c r="AB73" s="12" t="s">
        <v>288</v>
      </c>
      <c r="AC73" s="12"/>
    </row>
    <row r="74" spans="1:29" x14ac:dyDescent="0.25">
      <c r="A74">
        <v>595</v>
      </c>
      <c r="B74">
        <v>841</v>
      </c>
      <c r="C74">
        <v>0</v>
      </c>
      <c r="D74" s="12"/>
      <c r="E74" s="12"/>
      <c r="F74" s="12"/>
      <c r="I74" s="12"/>
      <c r="J74" s="12"/>
      <c r="K74" s="12"/>
      <c r="N74">
        <v>0.5</v>
      </c>
      <c r="O74">
        <v>0</v>
      </c>
      <c r="P74" s="12" t="s">
        <v>115</v>
      </c>
      <c r="Q74">
        <v>12</v>
      </c>
      <c r="R74" s="12" t="s">
        <v>225</v>
      </c>
      <c r="S74" s="12" t="s">
        <v>227</v>
      </c>
      <c r="T74" s="12" t="s">
        <v>229</v>
      </c>
      <c r="U74">
        <v>1</v>
      </c>
      <c r="V74">
        <v>0</v>
      </c>
      <c r="W74">
        <v>0</v>
      </c>
      <c r="X74" s="12" t="s">
        <v>262</v>
      </c>
      <c r="Y74">
        <v>12</v>
      </c>
      <c r="Z74">
        <v>13.2890625</v>
      </c>
      <c r="AA74" s="12" t="s">
        <v>55</v>
      </c>
      <c r="AB74" s="12" t="s">
        <v>288</v>
      </c>
      <c r="AC74" s="12"/>
    </row>
    <row r="75" spans="1:29" x14ac:dyDescent="0.25">
      <c r="A75">
        <v>595</v>
      </c>
      <c r="B75">
        <v>841</v>
      </c>
      <c r="C75">
        <v>0</v>
      </c>
      <c r="D75" s="12"/>
      <c r="E75" s="12"/>
      <c r="F75" s="12"/>
      <c r="I75" s="12"/>
      <c r="J75" s="12"/>
      <c r="K75" s="12"/>
      <c r="N75">
        <v>0.5</v>
      </c>
      <c r="O75">
        <v>0</v>
      </c>
      <c r="P75" s="12" t="s">
        <v>116</v>
      </c>
      <c r="Q75">
        <v>12</v>
      </c>
      <c r="R75" s="12" t="s">
        <v>225</v>
      </c>
      <c r="S75" s="12" t="s">
        <v>227</v>
      </c>
      <c r="T75" s="12" t="s">
        <v>229</v>
      </c>
      <c r="U75">
        <v>1</v>
      </c>
      <c r="V75">
        <v>0</v>
      </c>
      <c r="W75">
        <v>0</v>
      </c>
      <c r="X75" s="12" t="s">
        <v>263</v>
      </c>
      <c r="Y75">
        <v>18</v>
      </c>
      <c r="Z75">
        <v>13.2890625</v>
      </c>
      <c r="AA75" s="12" t="s">
        <v>55</v>
      </c>
      <c r="AB75" s="12" t="s">
        <v>288</v>
      </c>
      <c r="AC75" s="12"/>
    </row>
    <row r="76" spans="1:29" x14ac:dyDescent="0.25">
      <c r="A76">
        <v>595</v>
      </c>
      <c r="B76">
        <v>841</v>
      </c>
      <c r="C76">
        <v>0</v>
      </c>
      <c r="D76" s="12"/>
      <c r="E76" s="12"/>
      <c r="F76" s="12"/>
      <c r="I76" s="12"/>
      <c r="J76" s="12"/>
      <c r="K76" s="12"/>
      <c r="N76">
        <v>0.5</v>
      </c>
      <c r="O76">
        <v>0</v>
      </c>
      <c r="P76" s="12" t="s">
        <v>117</v>
      </c>
      <c r="Q76">
        <v>12</v>
      </c>
      <c r="R76" s="12" t="s">
        <v>225</v>
      </c>
      <c r="S76" s="12" t="s">
        <v>227</v>
      </c>
      <c r="T76" s="12" t="s">
        <v>229</v>
      </c>
      <c r="U76">
        <v>1</v>
      </c>
      <c r="V76">
        <v>0</v>
      </c>
      <c r="W76">
        <v>0</v>
      </c>
      <c r="X76" s="12"/>
      <c r="Y76">
        <v>3</v>
      </c>
      <c r="Z76">
        <v>13.2890625</v>
      </c>
      <c r="AA76" s="12" t="s">
        <v>55</v>
      </c>
      <c r="AB76" s="12" t="s">
        <v>288</v>
      </c>
      <c r="AC76" s="12"/>
    </row>
    <row r="77" spans="1:29" x14ac:dyDescent="0.25">
      <c r="A77">
        <v>595</v>
      </c>
      <c r="B77">
        <v>841</v>
      </c>
      <c r="C77">
        <v>0</v>
      </c>
      <c r="D77" s="12"/>
      <c r="E77" s="12"/>
      <c r="F77" s="12"/>
      <c r="I77" s="12"/>
      <c r="J77" s="12"/>
      <c r="K77" s="12"/>
      <c r="N77">
        <v>0.5</v>
      </c>
      <c r="O77">
        <v>0</v>
      </c>
      <c r="P77" s="12" t="s">
        <v>118</v>
      </c>
      <c r="Q77">
        <v>12</v>
      </c>
      <c r="R77" s="12" t="s">
        <v>225</v>
      </c>
      <c r="S77" s="12" t="s">
        <v>227</v>
      </c>
      <c r="T77" s="12" t="s">
        <v>229</v>
      </c>
      <c r="U77">
        <v>1</v>
      </c>
      <c r="V77">
        <v>0</v>
      </c>
      <c r="W77">
        <v>0</v>
      </c>
      <c r="X77" s="12" t="s">
        <v>238</v>
      </c>
      <c r="Y77">
        <v>21.996093999999999</v>
      </c>
      <c r="Z77">
        <v>13.2890625</v>
      </c>
      <c r="AA77" s="12" t="s">
        <v>55</v>
      </c>
      <c r="AB77" s="12" t="s">
        <v>288</v>
      </c>
      <c r="AC77" s="12"/>
    </row>
    <row r="78" spans="1:29" x14ac:dyDescent="0.25">
      <c r="A78">
        <v>595</v>
      </c>
      <c r="B78">
        <v>841</v>
      </c>
      <c r="C78">
        <v>0</v>
      </c>
      <c r="D78" s="12"/>
      <c r="E78" s="12"/>
      <c r="F78" s="12"/>
      <c r="I78" s="12"/>
      <c r="J78" s="12"/>
      <c r="K78" s="12"/>
      <c r="N78">
        <v>0.5</v>
      </c>
      <c r="O78">
        <v>0</v>
      </c>
      <c r="P78" s="12" t="s">
        <v>119</v>
      </c>
      <c r="Q78">
        <v>12</v>
      </c>
      <c r="R78" s="12" t="s">
        <v>225</v>
      </c>
      <c r="S78" s="12" t="s">
        <v>227</v>
      </c>
      <c r="T78" s="12" t="s">
        <v>229</v>
      </c>
      <c r="U78">
        <v>1</v>
      </c>
      <c r="V78">
        <v>0</v>
      </c>
      <c r="W78">
        <v>0</v>
      </c>
      <c r="X78" s="12" t="s">
        <v>258</v>
      </c>
      <c r="Y78">
        <v>75.685550000000006</v>
      </c>
      <c r="Z78">
        <v>13.2890625</v>
      </c>
      <c r="AA78" s="12" t="s">
        <v>55</v>
      </c>
      <c r="AB78" s="12" t="s">
        <v>288</v>
      </c>
      <c r="AC78" s="12"/>
    </row>
    <row r="79" spans="1:29" x14ac:dyDescent="0.25">
      <c r="A79">
        <v>595</v>
      </c>
      <c r="B79">
        <v>841</v>
      </c>
      <c r="C79">
        <v>0</v>
      </c>
      <c r="D79" s="12"/>
      <c r="E79" s="12"/>
      <c r="F79" s="12"/>
      <c r="I79" s="12"/>
      <c r="J79" s="12"/>
      <c r="K79" s="12"/>
      <c r="N79">
        <v>0.5</v>
      </c>
      <c r="O79">
        <v>0</v>
      </c>
      <c r="P79" s="12" t="s">
        <v>120</v>
      </c>
      <c r="Q79">
        <v>12</v>
      </c>
      <c r="R79" s="12" t="s">
        <v>225</v>
      </c>
      <c r="S79" s="12" t="s">
        <v>227</v>
      </c>
      <c r="T79" s="12" t="s">
        <v>229</v>
      </c>
      <c r="U79">
        <v>1</v>
      </c>
      <c r="V79">
        <v>0</v>
      </c>
      <c r="W79">
        <v>0</v>
      </c>
      <c r="X79" s="12"/>
      <c r="Y79">
        <v>3</v>
      </c>
      <c r="Z79">
        <v>13.2890625</v>
      </c>
      <c r="AA79" s="12" t="s">
        <v>55</v>
      </c>
      <c r="AB79" s="12" t="s">
        <v>288</v>
      </c>
      <c r="AC79" s="12"/>
    </row>
    <row r="80" spans="1:29" x14ac:dyDescent="0.25">
      <c r="A80">
        <v>595</v>
      </c>
      <c r="B80">
        <v>841</v>
      </c>
      <c r="C80">
        <v>0</v>
      </c>
      <c r="D80" s="12"/>
      <c r="E80" s="12"/>
      <c r="F80" s="12"/>
      <c r="I80" s="12"/>
      <c r="J80" s="12"/>
      <c r="K80" s="12"/>
      <c r="N80">
        <v>0.5</v>
      </c>
      <c r="O80">
        <v>0</v>
      </c>
      <c r="P80" s="12" t="s">
        <v>121</v>
      </c>
      <c r="Q80">
        <v>12</v>
      </c>
      <c r="R80" s="12" t="s">
        <v>225</v>
      </c>
      <c r="S80" s="12" t="s">
        <v>227</v>
      </c>
      <c r="T80" s="12" t="s">
        <v>229</v>
      </c>
      <c r="U80">
        <v>1</v>
      </c>
      <c r="V80">
        <v>0</v>
      </c>
      <c r="W80">
        <v>0</v>
      </c>
      <c r="X80" s="12" t="s">
        <v>259</v>
      </c>
      <c r="Y80">
        <v>58.664062000000001</v>
      </c>
      <c r="Z80">
        <v>13.2890625</v>
      </c>
      <c r="AA80" s="12" t="s">
        <v>55</v>
      </c>
      <c r="AB80" s="12" t="s">
        <v>288</v>
      </c>
      <c r="AC80" s="12"/>
    </row>
    <row r="81" spans="1:29" x14ac:dyDescent="0.25">
      <c r="A81">
        <v>595</v>
      </c>
      <c r="B81">
        <v>841</v>
      </c>
      <c r="C81">
        <v>0</v>
      </c>
      <c r="D81" s="12"/>
      <c r="E81" s="12"/>
      <c r="F81" s="12"/>
      <c r="I81" s="12"/>
      <c r="J81" s="12"/>
      <c r="K81" s="12"/>
      <c r="N81">
        <v>0.5</v>
      </c>
      <c r="O81">
        <v>0</v>
      </c>
      <c r="P81" s="12" t="s">
        <v>122</v>
      </c>
      <c r="Q81">
        <v>12</v>
      </c>
      <c r="R81" s="12" t="s">
        <v>225</v>
      </c>
      <c r="S81" s="12" t="s">
        <v>227</v>
      </c>
      <c r="T81" s="12" t="s">
        <v>229</v>
      </c>
      <c r="U81">
        <v>1</v>
      </c>
      <c r="V81">
        <v>0</v>
      </c>
      <c r="W81">
        <v>0</v>
      </c>
      <c r="X81" s="12" t="s">
        <v>233</v>
      </c>
      <c r="Y81">
        <v>18.65625</v>
      </c>
      <c r="Z81">
        <v>13.2890625</v>
      </c>
      <c r="AA81" s="12" t="s">
        <v>55</v>
      </c>
      <c r="AB81" s="12" t="s">
        <v>288</v>
      </c>
      <c r="AC81" s="12"/>
    </row>
    <row r="82" spans="1:29" x14ac:dyDescent="0.25">
      <c r="A82">
        <v>595</v>
      </c>
      <c r="B82">
        <v>841</v>
      </c>
      <c r="C82">
        <v>0</v>
      </c>
      <c r="D82" s="12"/>
      <c r="E82" s="12"/>
      <c r="F82" s="12"/>
      <c r="I82" s="12"/>
      <c r="J82" s="12"/>
      <c r="K82" s="12"/>
      <c r="N82">
        <v>0.5</v>
      </c>
      <c r="O82">
        <v>0</v>
      </c>
      <c r="P82" s="12" t="s">
        <v>123</v>
      </c>
      <c r="Q82">
        <v>12</v>
      </c>
      <c r="R82" s="12" t="s">
        <v>225</v>
      </c>
      <c r="S82" s="12" t="s">
        <v>227</v>
      </c>
      <c r="T82" s="12" t="s">
        <v>229</v>
      </c>
      <c r="U82">
        <v>1</v>
      </c>
      <c r="V82">
        <v>0</v>
      </c>
      <c r="W82">
        <v>0</v>
      </c>
      <c r="X82" s="12"/>
      <c r="Y82">
        <v>3</v>
      </c>
      <c r="Z82">
        <v>13.2890625</v>
      </c>
      <c r="AA82" s="12" t="s">
        <v>55</v>
      </c>
      <c r="AB82" s="12" t="s">
        <v>288</v>
      </c>
      <c r="AC82" s="12"/>
    </row>
    <row r="83" spans="1:29" x14ac:dyDescent="0.25">
      <c r="A83">
        <v>595</v>
      </c>
      <c r="B83">
        <v>841</v>
      </c>
      <c r="C83">
        <v>0</v>
      </c>
      <c r="D83" s="12"/>
      <c r="E83" s="12"/>
      <c r="F83" s="12"/>
      <c r="I83" s="12"/>
      <c r="J83" s="12"/>
      <c r="K83" s="12"/>
      <c r="N83">
        <v>0.5</v>
      </c>
      <c r="O83">
        <v>0</v>
      </c>
      <c r="P83" s="12" t="s">
        <v>124</v>
      </c>
      <c r="Q83">
        <v>12</v>
      </c>
      <c r="R83" s="12" t="s">
        <v>225</v>
      </c>
      <c r="S83" s="12" t="s">
        <v>227</v>
      </c>
      <c r="T83" s="12" t="s">
        <v>229</v>
      </c>
      <c r="U83">
        <v>1</v>
      </c>
      <c r="V83">
        <v>0</v>
      </c>
      <c r="W83">
        <v>0</v>
      </c>
      <c r="X83" s="12" t="s">
        <v>260</v>
      </c>
      <c r="Y83">
        <v>35.332030000000003</v>
      </c>
      <c r="Z83">
        <v>13.2890625</v>
      </c>
      <c r="AA83" s="12" t="s">
        <v>55</v>
      </c>
      <c r="AB83" s="12" t="s">
        <v>288</v>
      </c>
      <c r="AC83" s="12"/>
    </row>
    <row r="84" spans="1:29" x14ac:dyDescent="0.25">
      <c r="A84">
        <v>595</v>
      </c>
      <c r="B84">
        <v>841</v>
      </c>
      <c r="C84">
        <v>0</v>
      </c>
      <c r="D84" s="12"/>
      <c r="E84" s="12"/>
      <c r="F84" s="12"/>
      <c r="I84" s="12"/>
      <c r="J84" s="12"/>
      <c r="K84" s="12"/>
      <c r="N84">
        <v>0.5</v>
      </c>
      <c r="O84">
        <v>0</v>
      </c>
      <c r="P84" s="12" t="s">
        <v>125</v>
      </c>
      <c r="Q84">
        <v>12</v>
      </c>
      <c r="R84" s="12" t="s">
        <v>225</v>
      </c>
      <c r="S84" s="12" t="s">
        <v>227</v>
      </c>
      <c r="T84" s="12" t="s">
        <v>229</v>
      </c>
      <c r="U84">
        <v>1</v>
      </c>
      <c r="V84">
        <v>0</v>
      </c>
      <c r="W84">
        <v>0</v>
      </c>
      <c r="X84" s="12"/>
      <c r="Y84">
        <v>3</v>
      </c>
      <c r="Z84">
        <v>13.2890625</v>
      </c>
      <c r="AA84" s="12" t="s">
        <v>55</v>
      </c>
      <c r="AB84" s="12" t="s">
        <v>288</v>
      </c>
      <c r="AC84" s="12"/>
    </row>
    <row r="85" spans="1:29" x14ac:dyDescent="0.25">
      <c r="A85">
        <v>595</v>
      </c>
      <c r="B85">
        <v>841</v>
      </c>
      <c r="C85">
        <v>0</v>
      </c>
      <c r="D85" s="12"/>
      <c r="E85" s="12"/>
      <c r="F85" s="12"/>
      <c r="I85" s="12"/>
      <c r="J85" s="12"/>
      <c r="K85" s="12"/>
      <c r="N85">
        <v>0.5</v>
      </c>
      <c r="O85">
        <v>0</v>
      </c>
      <c r="P85" s="12" t="s">
        <v>126</v>
      </c>
      <c r="Q85">
        <v>12</v>
      </c>
      <c r="R85" s="12" t="s">
        <v>225</v>
      </c>
      <c r="S85" s="12" t="s">
        <v>227</v>
      </c>
      <c r="T85" s="12" t="s">
        <v>229</v>
      </c>
      <c r="U85">
        <v>1</v>
      </c>
      <c r="V85">
        <v>0</v>
      </c>
      <c r="W85">
        <v>0</v>
      </c>
      <c r="X85" s="12" t="s">
        <v>261</v>
      </c>
      <c r="Y85">
        <v>14.677733999999999</v>
      </c>
      <c r="Z85">
        <v>13.2890625</v>
      </c>
      <c r="AA85" s="12" t="s">
        <v>55</v>
      </c>
      <c r="AB85" s="12" t="s">
        <v>288</v>
      </c>
      <c r="AC85" s="12"/>
    </row>
    <row r="86" spans="1:29" x14ac:dyDescent="0.25">
      <c r="A86">
        <v>595</v>
      </c>
      <c r="B86">
        <v>841</v>
      </c>
      <c r="C86">
        <v>0</v>
      </c>
      <c r="D86" s="12"/>
      <c r="E86" s="12"/>
      <c r="F86" s="12"/>
      <c r="I86" s="12"/>
      <c r="J86" s="12"/>
      <c r="K86" s="12"/>
      <c r="N86">
        <v>0.5</v>
      </c>
      <c r="O86">
        <v>0</v>
      </c>
      <c r="P86" s="12" t="s">
        <v>127</v>
      </c>
      <c r="Q86">
        <v>12</v>
      </c>
      <c r="R86" s="12" t="s">
        <v>225</v>
      </c>
      <c r="S86" s="12" t="s">
        <v>227</v>
      </c>
      <c r="T86" s="12" t="s">
        <v>229</v>
      </c>
      <c r="U86">
        <v>1</v>
      </c>
      <c r="V86">
        <v>0</v>
      </c>
      <c r="W86">
        <v>0</v>
      </c>
      <c r="X86" s="12"/>
      <c r="Y86">
        <v>3</v>
      </c>
      <c r="Z86">
        <v>13.2890625</v>
      </c>
      <c r="AA86" s="12" t="s">
        <v>55</v>
      </c>
      <c r="AB86" s="12" t="s">
        <v>288</v>
      </c>
      <c r="AC86" s="12"/>
    </row>
    <row r="87" spans="1:29" x14ac:dyDescent="0.25">
      <c r="A87">
        <v>595</v>
      </c>
      <c r="B87">
        <v>841</v>
      </c>
      <c r="C87">
        <v>0</v>
      </c>
      <c r="D87" s="12"/>
      <c r="E87" s="12"/>
      <c r="F87" s="12"/>
      <c r="I87" s="12"/>
      <c r="J87" s="12"/>
      <c r="K87" s="12"/>
      <c r="N87">
        <v>0.5</v>
      </c>
      <c r="O87">
        <v>0</v>
      </c>
      <c r="P87" s="12" t="s">
        <v>128</v>
      </c>
      <c r="Q87">
        <v>12</v>
      </c>
      <c r="R87" s="12" t="s">
        <v>225</v>
      </c>
      <c r="S87" s="12" t="s">
        <v>227</v>
      </c>
      <c r="T87" s="12" t="s">
        <v>229</v>
      </c>
      <c r="U87">
        <v>1</v>
      </c>
      <c r="V87">
        <v>0</v>
      </c>
      <c r="W87">
        <v>0</v>
      </c>
      <c r="X87" s="12" t="s">
        <v>262</v>
      </c>
      <c r="Y87">
        <v>12</v>
      </c>
      <c r="Z87">
        <v>13.2890625</v>
      </c>
      <c r="AA87" s="12" t="s">
        <v>55</v>
      </c>
      <c r="AB87" s="12" t="s">
        <v>288</v>
      </c>
      <c r="AC87" s="12"/>
    </row>
    <row r="88" spans="1:29" x14ac:dyDescent="0.25">
      <c r="A88">
        <v>595</v>
      </c>
      <c r="B88">
        <v>841</v>
      </c>
      <c r="C88">
        <v>0</v>
      </c>
      <c r="D88" s="12"/>
      <c r="E88" s="12"/>
      <c r="F88" s="12"/>
      <c r="I88" s="12"/>
      <c r="J88" s="12"/>
      <c r="K88" s="12"/>
      <c r="N88">
        <v>0.5</v>
      </c>
      <c r="O88">
        <v>0</v>
      </c>
      <c r="P88" s="12" t="s">
        <v>129</v>
      </c>
      <c r="Q88">
        <v>12</v>
      </c>
      <c r="R88" s="12" t="s">
        <v>225</v>
      </c>
      <c r="S88" s="12" t="s">
        <v>227</v>
      </c>
      <c r="T88" s="12" t="s">
        <v>229</v>
      </c>
      <c r="U88">
        <v>1</v>
      </c>
      <c r="V88">
        <v>0</v>
      </c>
      <c r="W88">
        <v>0</v>
      </c>
      <c r="X88" s="12" t="s">
        <v>263</v>
      </c>
      <c r="Y88">
        <v>18</v>
      </c>
      <c r="Z88">
        <v>13.2890625</v>
      </c>
      <c r="AA88" s="12" t="s">
        <v>55</v>
      </c>
      <c r="AB88" s="12" t="s">
        <v>288</v>
      </c>
      <c r="AC88" s="12"/>
    </row>
    <row r="89" spans="1:29" x14ac:dyDescent="0.25">
      <c r="A89">
        <v>595</v>
      </c>
      <c r="B89">
        <v>841</v>
      </c>
      <c r="C89">
        <v>0</v>
      </c>
      <c r="D89" s="12"/>
      <c r="E89" s="12"/>
      <c r="F89" s="12"/>
      <c r="I89" s="12"/>
      <c r="J89" s="12"/>
      <c r="K89" s="12"/>
      <c r="N89">
        <v>0.5</v>
      </c>
      <c r="O89">
        <v>0</v>
      </c>
      <c r="P89" s="12" t="s">
        <v>130</v>
      </c>
      <c r="Q89">
        <v>12</v>
      </c>
      <c r="R89" s="12" t="s">
        <v>225</v>
      </c>
      <c r="S89" s="12" t="s">
        <v>227</v>
      </c>
      <c r="T89" s="12" t="s">
        <v>229</v>
      </c>
      <c r="U89">
        <v>1</v>
      </c>
      <c r="V89">
        <v>0</v>
      </c>
      <c r="W89">
        <v>0</v>
      </c>
      <c r="X89" s="12"/>
      <c r="Y89">
        <v>3</v>
      </c>
      <c r="Z89">
        <v>13.2890625</v>
      </c>
      <c r="AA89" s="12" t="s">
        <v>55</v>
      </c>
      <c r="AB89" s="12" t="s">
        <v>288</v>
      </c>
      <c r="AC89" s="12"/>
    </row>
    <row r="90" spans="1:29" x14ac:dyDescent="0.25">
      <c r="A90">
        <v>595</v>
      </c>
      <c r="B90">
        <v>841</v>
      </c>
      <c r="C90">
        <v>0</v>
      </c>
      <c r="D90" s="12"/>
      <c r="E90" s="12"/>
      <c r="F90" s="12"/>
      <c r="I90" s="12"/>
      <c r="J90" s="12"/>
      <c r="K90" s="12"/>
      <c r="N90">
        <v>0.5</v>
      </c>
      <c r="O90">
        <v>0</v>
      </c>
      <c r="P90" s="12" t="s">
        <v>131</v>
      </c>
      <c r="Q90">
        <v>12</v>
      </c>
      <c r="R90" s="12" t="s">
        <v>225</v>
      </c>
      <c r="S90" s="12" t="s">
        <v>227</v>
      </c>
      <c r="T90" s="12" t="s">
        <v>229</v>
      </c>
      <c r="U90">
        <v>1</v>
      </c>
      <c r="V90">
        <v>0</v>
      </c>
      <c r="W90">
        <v>0</v>
      </c>
      <c r="X90" s="12" t="s">
        <v>238</v>
      </c>
      <c r="Y90">
        <v>21.996093999999999</v>
      </c>
      <c r="Z90">
        <v>13.2890625</v>
      </c>
      <c r="AA90" s="12" t="s">
        <v>55</v>
      </c>
      <c r="AB90" s="12" t="s">
        <v>288</v>
      </c>
      <c r="AC90" s="12"/>
    </row>
    <row r="91" spans="1:29" x14ac:dyDescent="0.25">
      <c r="A91">
        <v>595</v>
      </c>
      <c r="B91">
        <v>841</v>
      </c>
      <c r="C91">
        <v>0</v>
      </c>
      <c r="D91" s="12"/>
      <c r="E91" s="12"/>
      <c r="F91" s="12"/>
      <c r="I91" s="12"/>
      <c r="J91" s="12"/>
      <c r="K91" s="12"/>
      <c r="N91">
        <v>0.5</v>
      </c>
      <c r="O91">
        <v>0</v>
      </c>
      <c r="P91" s="12" t="s">
        <v>132</v>
      </c>
      <c r="Q91">
        <v>12</v>
      </c>
      <c r="R91" s="12" t="s">
        <v>226</v>
      </c>
      <c r="S91" s="12" t="s">
        <v>228</v>
      </c>
      <c r="T91" s="12" t="s">
        <v>229</v>
      </c>
      <c r="U91">
        <v>2</v>
      </c>
      <c r="V91">
        <v>0</v>
      </c>
      <c r="W91">
        <v>0</v>
      </c>
      <c r="X91" s="12" t="s">
        <v>264</v>
      </c>
      <c r="Y91">
        <v>187.95703</v>
      </c>
      <c r="Z91">
        <v>13.2890625</v>
      </c>
      <c r="AA91" s="12" t="s">
        <v>55</v>
      </c>
      <c r="AB91" s="12" t="s">
        <v>288</v>
      </c>
      <c r="AC91" s="12"/>
    </row>
    <row r="92" spans="1:29" x14ac:dyDescent="0.25">
      <c r="A92">
        <v>595</v>
      </c>
      <c r="B92">
        <v>841</v>
      </c>
      <c r="C92">
        <v>0</v>
      </c>
      <c r="D92" s="12"/>
      <c r="E92" s="12"/>
      <c r="F92" s="12"/>
      <c r="I92" s="12"/>
      <c r="J92" s="12"/>
      <c r="K92" s="12"/>
      <c r="N92">
        <v>0.5</v>
      </c>
      <c r="O92">
        <v>0</v>
      </c>
      <c r="P92" s="12" t="s">
        <v>133</v>
      </c>
      <c r="Q92">
        <v>12</v>
      </c>
      <c r="R92" s="12" t="s">
        <v>226</v>
      </c>
      <c r="S92" s="12" t="s">
        <v>228</v>
      </c>
      <c r="T92" s="12" t="s">
        <v>229</v>
      </c>
      <c r="U92">
        <v>2</v>
      </c>
      <c r="V92">
        <v>0</v>
      </c>
      <c r="W92">
        <v>0</v>
      </c>
      <c r="X92" s="12"/>
      <c r="Y92">
        <v>3</v>
      </c>
      <c r="Z92">
        <v>13.2890625</v>
      </c>
      <c r="AA92" s="12" t="s">
        <v>55</v>
      </c>
      <c r="AB92" s="12" t="s">
        <v>288</v>
      </c>
      <c r="AC92" s="12"/>
    </row>
    <row r="93" spans="1:29" x14ac:dyDescent="0.25">
      <c r="A93">
        <v>595</v>
      </c>
      <c r="B93">
        <v>841</v>
      </c>
      <c r="C93">
        <v>0</v>
      </c>
      <c r="D93" s="12"/>
      <c r="E93" s="12"/>
      <c r="F93" s="12"/>
      <c r="I93" s="12"/>
      <c r="J93" s="12"/>
      <c r="K93" s="12"/>
      <c r="N93">
        <v>0.5</v>
      </c>
      <c r="O93">
        <v>0</v>
      </c>
      <c r="P93" s="12" t="s">
        <v>134</v>
      </c>
      <c r="Q93">
        <v>12</v>
      </c>
      <c r="R93" s="12" t="s">
        <v>226</v>
      </c>
      <c r="S93" s="12" t="s">
        <v>228</v>
      </c>
      <c r="T93" s="12" t="s">
        <v>229</v>
      </c>
      <c r="U93">
        <v>2</v>
      </c>
      <c r="V93">
        <v>0</v>
      </c>
      <c r="W93">
        <v>0</v>
      </c>
      <c r="X93" s="12" t="s">
        <v>265</v>
      </c>
      <c r="Y93">
        <v>67.669920000000005</v>
      </c>
      <c r="Z93">
        <v>13.2890625</v>
      </c>
      <c r="AA93" s="12" t="s">
        <v>55</v>
      </c>
      <c r="AB93" s="12" t="s">
        <v>288</v>
      </c>
      <c r="AC93" s="12"/>
    </row>
    <row r="94" spans="1:29" x14ac:dyDescent="0.25">
      <c r="A94">
        <v>595</v>
      </c>
      <c r="B94">
        <v>841</v>
      </c>
      <c r="C94">
        <v>0</v>
      </c>
      <c r="D94" s="12"/>
      <c r="E94" s="12"/>
      <c r="F94" s="12"/>
      <c r="I94" s="12"/>
      <c r="J94" s="12"/>
      <c r="K94" s="12"/>
      <c r="N94">
        <v>0.5</v>
      </c>
      <c r="O94">
        <v>0</v>
      </c>
      <c r="P94" s="12" t="s">
        <v>135</v>
      </c>
      <c r="Q94">
        <v>12</v>
      </c>
      <c r="R94" s="12" t="s">
        <v>226</v>
      </c>
      <c r="S94" s="12" t="s">
        <v>228</v>
      </c>
      <c r="T94" s="12" t="s">
        <v>229</v>
      </c>
      <c r="U94">
        <v>2</v>
      </c>
      <c r="V94">
        <v>0</v>
      </c>
      <c r="W94">
        <v>0</v>
      </c>
      <c r="X94" s="12"/>
      <c r="Y94">
        <v>3</v>
      </c>
      <c r="Z94">
        <v>13.2890625</v>
      </c>
      <c r="AA94" s="12" t="s">
        <v>55</v>
      </c>
      <c r="AB94" s="12" t="s">
        <v>288</v>
      </c>
      <c r="AC94" s="12"/>
    </row>
    <row r="95" spans="1:29" x14ac:dyDescent="0.25">
      <c r="A95">
        <v>595</v>
      </c>
      <c r="B95">
        <v>841</v>
      </c>
      <c r="C95">
        <v>0</v>
      </c>
      <c r="D95" s="12"/>
      <c r="E95" s="12"/>
      <c r="F95" s="12"/>
      <c r="I95" s="12"/>
      <c r="J95" s="12"/>
      <c r="K95" s="12"/>
      <c r="N95">
        <v>0.5</v>
      </c>
      <c r="O95">
        <v>0</v>
      </c>
      <c r="P95" s="12" t="s">
        <v>136</v>
      </c>
      <c r="Q95">
        <v>12</v>
      </c>
      <c r="R95" s="12" t="s">
        <v>226</v>
      </c>
      <c r="S95" s="12" t="s">
        <v>228</v>
      </c>
      <c r="T95" s="12" t="s">
        <v>229</v>
      </c>
      <c r="U95">
        <v>2</v>
      </c>
      <c r="V95">
        <v>0</v>
      </c>
      <c r="W95">
        <v>0</v>
      </c>
      <c r="X95" s="12" t="s">
        <v>250</v>
      </c>
      <c r="Y95">
        <v>6</v>
      </c>
      <c r="Z95">
        <v>13.2890625</v>
      </c>
      <c r="AA95" s="12" t="s">
        <v>55</v>
      </c>
      <c r="AB95" s="12" t="s">
        <v>288</v>
      </c>
      <c r="AC95" s="12"/>
    </row>
    <row r="96" spans="1:29" x14ac:dyDescent="0.25">
      <c r="A96">
        <v>595</v>
      </c>
      <c r="B96">
        <v>841</v>
      </c>
      <c r="C96">
        <v>0</v>
      </c>
      <c r="D96" s="12"/>
      <c r="E96" s="12"/>
      <c r="F96" s="12"/>
      <c r="I96" s="12"/>
      <c r="J96" s="12"/>
      <c r="K96" s="12"/>
      <c r="N96">
        <v>0.5</v>
      </c>
      <c r="O96">
        <v>0</v>
      </c>
      <c r="P96" s="12" t="s">
        <v>137</v>
      </c>
      <c r="Q96">
        <v>12</v>
      </c>
      <c r="R96" s="12" t="s">
        <v>226</v>
      </c>
      <c r="S96" s="12" t="s">
        <v>228</v>
      </c>
      <c r="T96" s="12" t="s">
        <v>229</v>
      </c>
      <c r="U96">
        <v>2</v>
      </c>
      <c r="V96">
        <v>0</v>
      </c>
      <c r="W96">
        <v>0</v>
      </c>
      <c r="X96" s="12"/>
      <c r="Y96">
        <v>3</v>
      </c>
      <c r="Z96">
        <v>13.2890625</v>
      </c>
      <c r="AA96" s="12" t="s">
        <v>55</v>
      </c>
      <c r="AB96" s="12" t="s">
        <v>288</v>
      </c>
      <c r="AC96" s="12"/>
    </row>
    <row r="97" spans="1:29" x14ac:dyDescent="0.25">
      <c r="A97">
        <v>595</v>
      </c>
      <c r="B97">
        <v>841</v>
      </c>
      <c r="C97">
        <v>0</v>
      </c>
      <c r="D97" s="12"/>
      <c r="E97" s="12"/>
      <c r="F97" s="12"/>
      <c r="I97" s="12"/>
      <c r="J97" s="12"/>
      <c r="K97" s="12"/>
      <c r="N97">
        <v>0.5</v>
      </c>
      <c r="O97">
        <v>0</v>
      </c>
      <c r="P97" s="12" t="s">
        <v>138</v>
      </c>
      <c r="Q97">
        <v>12</v>
      </c>
      <c r="R97" s="12" t="s">
        <v>226</v>
      </c>
      <c r="S97" s="12" t="s">
        <v>228</v>
      </c>
      <c r="T97" s="12" t="s">
        <v>229</v>
      </c>
      <c r="U97">
        <v>2</v>
      </c>
      <c r="V97">
        <v>0</v>
      </c>
      <c r="W97">
        <v>0</v>
      </c>
      <c r="X97" s="12" t="s">
        <v>266</v>
      </c>
      <c r="Y97">
        <v>27</v>
      </c>
      <c r="Z97">
        <v>13.2890625</v>
      </c>
      <c r="AA97" s="12" t="s">
        <v>55</v>
      </c>
      <c r="AB97" s="12" t="s">
        <v>288</v>
      </c>
      <c r="AC97" s="12"/>
    </row>
    <row r="98" spans="1:29" x14ac:dyDescent="0.25">
      <c r="A98">
        <v>595</v>
      </c>
      <c r="B98">
        <v>841</v>
      </c>
      <c r="C98">
        <v>0</v>
      </c>
      <c r="D98" s="12"/>
      <c r="E98" s="12"/>
      <c r="F98" s="12"/>
      <c r="I98" s="12"/>
      <c r="J98" s="12"/>
      <c r="K98" s="12"/>
      <c r="N98">
        <v>0.5</v>
      </c>
      <c r="O98">
        <v>0</v>
      </c>
      <c r="P98" s="12" t="s">
        <v>139</v>
      </c>
      <c r="Q98">
        <v>12</v>
      </c>
      <c r="R98" s="12" t="s">
        <v>226</v>
      </c>
      <c r="S98" s="12" t="s">
        <v>228</v>
      </c>
      <c r="T98" s="12" t="s">
        <v>229</v>
      </c>
      <c r="U98">
        <v>2</v>
      </c>
      <c r="V98">
        <v>0</v>
      </c>
      <c r="W98">
        <v>0</v>
      </c>
      <c r="X98" s="12"/>
      <c r="Y98">
        <v>3</v>
      </c>
      <c r="Z98">
        <v>13.2890625</v>
      </c>
      <c r="AA98" s="12" t="s">
        <v>55</v>
      </c>
      <c r="AB98" s="12" t="s">
        <v>288</v>
      </c>
      <c r="AC98" s="12"/>
    </row>
    <row r="99" spans="1:29" x14ac:dyDescent="0.25">
      <c r="A99">
        <v>595</v>
      </c>
      <c r="B99">
        <v>841</v>
      </c>
      <c r="C99">
        <v>0</v>
      </c>
      <c r="D99" s="12"/>
      <c r="E99" s="12"/>
      <c r="F99" s="12"/>
      <c r="I99" s="12"/>
      <c r="J99" s="12"/>
      <c r="K99" s="12"/>
      <c r="N99">
        <v>0.5</v>
      </c>
      <c r="O99">
        <v>0</v>
      </c>
      <c r="P99" s="12" t="s">
        <v>140</v>
      </c>
      <c r="Q99">
        <v>12</v>
      </c>
      <c r="R99" s="12" t="s">
        <v>225</v>
      </c>
      <c r="S99" s="12" t="s">
        <v>227</v>
      </c>
      <c r="T99" s="12" t="s">
        <v>229</v>
      </c>
      <c r="U99">
        <v>1</v>
      </c>
      <c r="V99">
        <v>0</v>
      </c>
      <c r="W99">
        <v>0</v>
      </c>
      <c r="X99" s="12" t="s">
        <v>267</v>
      </c>
      <c r="Y99">
        <v>34.652343999999999</v>
      </c>
      <c r="Z99">
        <v>13.2890625</v>
      </c>
      <c r="AA99" s="12" t="s">
        <v>55</v>
      </c>
      <c r="AB99" s="12" t="s">
        <v>288</v>
      </c>
      <c r="AC99" s="12"/>
    </row>
    <row r="100" spans="1:29" x14ac:dyDescent="0.25">
      <c r="A100">
        <v>595</v>
      </c>
      <c r="B100">
        <v>841</v>
      </c>
      <c r="C100">
        <v>0</v>
      </c>
      <c r="D100" s="12"/>
      <c r="E100" s="12"/>
      <c r="F100" s="12"/>
      <c r="I100" s="12"/>
      <c r="J100" s="12"/>
      <c r="K100" s="12"/>
      <c r="N100">
        <v>0.5</v>
      </c>
      <c r="O100">
        <v>0</v>
      </c>
      <c r="P100" s="12" t="s">
        <v>141</v>
      </c>
      <c r="Q100">
        <v>12</v>
      </c>
      <c r="R100" s="12" t="s">
        <v>225</v>
      </c>
      <c r="S100" s="12" t="s">
        <v>227</v>
      </c>
      <c r="T100" s="12" t="s">
        <v>229</v>
      </c>
      <c r="U100">
        <v>1</v>
      </c>
      <c r="V100">
        <v>0</v>
      </c>
      <c r="W100">
        <v>0</v>
      </c>
      <c r="X100" s="12" t="s">
        <v>268</v>
      </c>
      <c r="Y100">
        <v>36.333984000000001</v>
      </c>
      <c r="Z100">
        <v>13.2890625</v>
      </c>
      <c r="AA100" s="12" t="s">
        <v>55</v>
      </c>
      <c r="AB100" s="12" t="s">
        <v>288</v>
      </c>
      <c r="AC100" s="12"/>
    </row>
    <row r="101" spans="1:29" x14ac:dyDescent="0.25">
      <c r="A101">
        <v>595</v>
      </c>
      <c r="B101">
        <v>841</v>
      </c>
      <c r="C101">
        <v>0</v>
      </c>
      <c r="D101" s="12"/>
      <c r="E101" s="12"/>
      <c r="F101" s="12"/>
      <c r="I101" s="12"/>
      <c r="J101" s="12"/>
      <c r="K101" s="12"/>
      <c r="N101">
        <v>0.5</v>
      </c>
      <c r="O101">
        <v>0</v>
      </c>
      <c r="P101" s="12" t="s">
        <v>142</v>
      </c>
      <c r="Q101">
        <v>12</v>
      </c>
      <c r="R101" s="12" t="s">
        <v>225</v>
      </c>
      <c r="S101" s="12" t="s">
        <v>227</v>
      </c>
      <c r="T101" s="12" t="s">
        <v>229</v>
      </c>
      <c r="U101">
        <v>1</v>
      </c>
      <c r="V101">
        <v>0</v>
      </c>
      <c r="W101">
        <v>0</v>
      </c>
      <c r="X101" s="12"/>
      <c r="Y101">
        <v>3</v>
      </c>
      <c r="Z101">
        <v>13.2890625</v>
      </c>
      <c r="AA101" s="12" t="s">
        <v>55</v>
      </c>
      <c r="AB101" s="12" t="s">
        <v>288</v>
      </c>
      <c r="AC101" s="12"/>
    </row>
    <row r="102" spans="1:29" x14ac:dyDescent="0.25">
      <c r="A102">
        <v>595</v>
      </c>
      <c r="B102">
        <v>841</v>
      </c>
      <c r="C102">
        <v>0</v>
      </c>
      <c r="D102" s="12"/>
      <c r="E102" s="12"/>
      <c r="F102" s="12"/>
      <c r="I102" s="12"/>
      <c r="J102" s="12"/>
      <c r="K102" s="12"/>
      <c r="N102">
        <v>0.5</v>
      </c>
      <c r="O102">
        <v>0</v>
      </c>
      <c r="P102" s="12" t="s">
        <v>143</v>
      </c>
      <c r="Q102">
        <v>12</v>
      </c>
      <c r="R102" s="12" t="s">
        <v>225</v>
      </c>
      <c r="S102" s="12" t="s">
        <v>227</v>
      </c>
      <c r="T102" s="12" t="s">
        <v>229</v>
      </c>
      <c r="U102">
        <v>1</v>
      </c>
      <c r="V102">
        <v>0</v>
      </c>
      <c r="W102">
        <v>0</v>
      </c>
      <c r="X102" s="12" t="s">
        <v>269</v>
      </c>
      <c r="Y102">
        <v>69</v>
      </c>
      <c r="Z102">
        <v>13.2890625</v>
      </c>
      <c r="AA102" s="12" t="s">
        <v>55</v>
      </c>
      <c r="AB102" s="12" t="s">
        <v>288</v>
      </c>
      <c r="AC102" s="12"/>
    </row>
    <row r="103" spans="1:29" x14ac:dyDescent="0.25">
      <c r="A103">
        <v>595</v>
      </c>
      <c r="B103">
        <v>841</v>
      </c>
      <c r="C103">
        <v>0</v>
      </c>
      <c r="D103" s="12"/>
      <c r="E103" s="12"/>
      <c r="F103" s="12"/>
      <c r="I103" s="12"/>
      <c r="J103" s="12"/>
      <c r="K103" s="12"/>
      <c r="N103">
        <v>0.5</v>
      </c>
      <c r="O103">
        <v>0</v>
      </c>
      <c r="P103" s="12" t="s">
        <v>144</v>
      </c>
      <c r="Q103">
        <v>12</v>
      </c>
      <c r="R103" s="12" t="s">
        <v>225</v>
      </c>
      <c r="S103" s="12" t="s">
        <v>227</v>
      </c>
      <c r="T103" s="12" t="s">
        <v>229</v>
      </c>
      <c r="U103">
        <v>1</v>
      </c>
      <c r="V103">
        <v>0</v>
      </c>
      <c r="W103">
        <v>0</v>
      </c>
      <c r="X103" s="12"/>
      <c r="Y103">
        <v>3</v>
      </c>
      <c r="Z103">
        <v>13.2890625</v>
      </c>
      <c r="AA103" s="12" t="s">
        <v>55</v>
      </c>
      <c r="AB103" s="12" t="s">
        <v>288</v>
      </c>
      <c r="AC103" s="12"/>
    </row>
    <row r="104" spans="1:29" x14ac:dyDescent="0.25">
      <c r="A104">
        <v>595</v>
      </c>
      <c r="B104">
        <v>841</v>
      </c>
      <c r="C104">
        <v>0</v>
      </c>
      <c r="D104" s="12"/>
      <c r="E104" s="12"/>
      <c r="F104" s="12"/>
      <c r="I104" s="12"/>
      <c r="J104" s="12"/>
      <c r="K104" s="12"/>
      <c r="N104">
        <v>0.5</v>
      </c>
      <c r="O104">
        <v>0</v>
      </c>
      <c r="P104" s="12" t="s">
        <v>145</v>
      </c>
      <c r="Q104">
        <v>12</v>
      </c>
      <c r="R104" s="12" t="s">
        <v>225</v>
      </c>
      <c r="S104" s="12" t="s">
        <v>227</v>
      </c>
      <c r="T104" s="12" t="s">
        <v>229</v>
      </c>
      <c r="U104">
        <v>1</v>
      </c>
      <c r="V104">
        <v>0</v>
      </c>
      <c r="W104">
        <v>0</v>
      </c>
      <c r="X104" s="12" t="s">
        <v>270</v>
      </c>
      <c r="Y104">
        <v>17.982422</v>
      </c>
      <c r="Z104">
        <v>13.2890625</v>
      </c>
      <c r="AA104" s="12" t="s">
        <v>55</v>
      </c>
      <c r="AB104" s="12" t="s">
        <v>288</v>
      </c>
      <c r="AC104" s="12"/>
    </row>
    <row r="105" spans="1:29" x14ac:dyDescent="0.25">
      <c r="A105">
        <v>595</v>
      </c>
      <c r="B105">
        <v>841</v>
      </c>
      <c r="C105">
        <v>0</v>
      </c>
      <c r="D105" s="12"/>
      <c r="E105" s="12"/>
      <c r="F105" s="12"/>
      <c r="I105" s="12"/>
      <c r="J105" s="12"/>
      <c r="K105" s="12"/>
      <c r="N105">
        <v>0.5</v>
      </c>
      <c r="O105">
        <v>0</v>
      </c>
      <c r="P105" s="12" t="s">
        <v>146</v>
      </c>
      <c r="Q105">
        <v>12</v>
      </c>
      <c r="R105" s="12" t="s">
        <v>225</v>
      </c>
      <c r="S105" s="12" t="s">
        <v>227</v>
      </c>
      <c r="T105" s="12" t="s">
        <v>229</v>
      </c>
      <c r="U105">
        <v>1</v>
      </c>
      <c r="V105">
        <v>0</v>
      </c>
      <c r="W105">
        <v>0</v>
      </c>
      <c r="X105" s="12"/>
      <c r="Y105">
        <v>3</v>
      </c>
      <c r="Z105">
        <v>13.2890625</v>
      </c>
      <c r="AA105" s="12" t="s">
        <v>55</v>
      </c>
      <c r="AB105" s="12" t="s">
        <v>288</v>
      </c>
      <c r="AC105" s="12"/>
    </row>
    <row r="106" spans="1:29" x14ac:dyDescent="0.25">
      <c r="A106">
        <v>595</v>
      </c>
      <c r="B106">
        <v>841</v>
      </c>
      <c r="C106">
        <v>0</v>
      </c>
      <c r="D106" s="12"/>
      <c r="E106" s="12"/>
      <c r="F106" s="12"/>
      <c r="I106" s="12"/>
      <c r="J106" s="12"/>
      <c r="K106" s="12"/>
      <c r="N106">
        <v>0.5</v>
      </c>
      <c r="O106">
        <v>0</v>
      </c>
      <c r="P106" s="12" t="s">
        <v>147</v>
      </c>
      <c r="Q106">
        <v>12</v>
      </c>
      <c r="R106" s="12" t="s">
        <v>225</v>
      </c>
      <c r="S106" s="12" t="s">
        <v>227</v>
      </c>
      <c r="T106" s="12" t="s">
        <v>229</v>
      </c>
      <c r="U106">
        <v>1</v>
      </c>
      <c r="V106">
        <v>0</v>
      </c>
      <c r="W106">
        <v>0</v>
      </c>
      <c r="X106" s="12" t="s">
        <v>271</v>
      </c>
      <c r="Y106">
        <v>32.654297</v>
      </c>
      <c r="Z106">
        <v>13.2890625</v>
      </c>
      <c r="AA106" s="12" t="s">
        <v>55</v>
      </c>
      <c r="AB106" s="12" t="s">
        <v>288</v>
      </c>
      <c r="AC106" s="12"/>
    </row>
    <row r="107" spans="1:29" x14ac:dyDescent="0.25">
      <c r="A107">
        <v>595</v>
      </c>
      <c r="B107">
        <v>841</v>
      </c>
      <c r="C107">
        <v>0</v>
      </c>
      <c r="D107" s="12"/>
      <c r="E107" s="12"/>
      <c r="F107" s="12"/>
      <c r="I107" s="12"/>
      <c r="J107" s="12"/>
      <c r="K107" s="12"/>
      <c r="N107">
        <v>0.5</v>
      </c>
      <c r="O107">
        <v>0</v>
      </c>
      <c r="P107" s="12" t="s">
        <v>148</v>
      </c>
      <c r="Q107">
        <v>12</v>
      </c>
      <c r="R107" s="12" t="s">
        <v>225</v>
      </c>
      <c r="S107" s="12" t="s">
        <v>227</v>
      </c>
      <c r="T107" s="12" t="s">
        <v>229</v>
      </c>
      <c r="U107">
        <v>1</v>
      </c>
      <c r="V107">
        <v>0</v>
      </c>
      <c r="W107">
        <v>0</v>
      </c>
      <c r="X107" s="12"/>
      <c r="Y107">
        <v>3</v>
      </c>
      <c r="Z107">
        <v>13.2890625</v>
      </c>
      <c r="AA107" s="12" t="s">
        <v>55</v>
      </c>
      <c r="AB107" s="12" t="s">
        <v>288</v>
      </c>
      <c r="AC107" s="12"/>
    </row>
    <row r="108" spans="1:29" x14ac:dyDescent="0.25">
      <c r="A108">
        <v>595</v>
      </c>
      <c r="B108">
        <v>841</v>
      </c>
      <c r="C108">
        <v>0</v>
      </c>
      <c r="D108" s="12"/>
      <c r="E108" s="12"/>
      <c r="F108" s="12"/>
      <c r="I108" s="12"/>
      <c r="J108" s="12"/>
      <c r="K108" s="12"/>
      <c r="N108">
        <v>0.5</v>
      </c>
      <c r="O108">
        <v>0</v>
      </c>
      <c r="P108" s="12" t="s">
        <v>149</v>
      </c>
      <c r="Q108">
        <v>12</v>
      </c>
      <c r="R108" s="12" t="s">
        <v>225</v>
      </c>
      <c r="S108" s="12" t="s">
        <v>227</v>
      </c>
      <c r="T108" s="12" t="s">
        <v>229</v>
      </c>
      <c r="U108">
        <v>1</v>
      </c>
      <c r="V108">
        <v>0</v>
      </c>
      <c r="W108">
        <v>0</v>
      </c>
      <c r="X108" s="12" t="s">
        <v>272</v>
      </c>
      <c r="Y108">
        <v>17.326172</v>
      </c>
      <c r="Z108">
        <v>13.2890625</v>
      </c>
      <c r="AA108" s="12" t="s">
        <v>55</v>
      </c>
      <c r="AB108" s="12" t="s">
        <v>288</v>
      </c>
      <c r="AC108" s="12"/>
    </row>
    <row r="109" spans="1:29" x14ac:dyDescent="0.25">
      <c r="A109">
        <v>595</v>
      </c>
      <c r="B109">
        <v>841</v>
      </c>
      <c r="C109">
        <v>0</v>
      </c>
      <c r="D109" s="12"/>
      <c r="E109" s="12"/>
      <c r="F109" s="12"/>
      <c r="I109" s="12"/>
      <c r="J109" s="12"/>
      <c r="K109" s="12"/>
      <c r="N109">
        <v>0.5</v>
      </c>
      <c r="O109">
        <v>0</v>
      </c>
      <c r="P109" s="12" t="s">
        <v>150</v>
      </c>
      <c r="Q109">
        <v>12</v>
      </c>
      <c r="R109" s="12" t="s">
        <v>225</v>
      </c>
      <c r="S109" s="12" t="s">
        <v>227</v>
      </c>
      <c r="T109" s="12" t="s">
        <v>229</v>
      </c>
      <c r="U109">
        <v>1</v>
      </c>
      <c r="V109">
        <v>0</v>
      </c>
      <c r="W109">
        <v>0</v>
      </c>
      <c r="X109" s="12"/>
      <c r="Y109">
        <v>3</v>
      </c>
      <c r="Z109">
        <v>13.2890625</v>
      </c>
      <c r="AA109" s="12" t="s">
        <v>55</v>
      </c>
      <c r="AB109" s="12" t="s">
        <v>288</v>
      </c>
      <c r="AC109" s="12"/>
    </row>
    <row r="110" spans="1:29" x14ac:dyDescent="0.25">
      <c r="A110">
        <v>595</v>
      </c>
      <c r="B110">
        <v>841</v>
      </c>
      <c r="C110">
        <v>0</v>
      </c>
      <c r="D110" s="12"/>
      <c r="E110" s="12"/>
      <c r="F110" s="12"/>
      <c r="I110" s="12"/>
      <c r="J110" s="12"/>
      <c r="K110" s="12"/>
      <c r="N110">
        <v>0.5</v>
      </c>
      <c r="O110">
        <v>0</v>
      </c>
      <c r="P110" s="12" t="s">
        <v>151</v>
      </c>
      <c r="Q110">
        <v>12</v>
      </c>
      <c r="R110" s="12" t="s">
        <v>225</v>
      </c>
      <c r="S110" s="12" t="s">
        <v>227</v>
      </c>
      <c r="T110" s="12" t="s">
        <v>229</v>
      </c>
      <c r="U110">
        <v>1</v>
      </c>
      <c r="V110">
        <v>0</v>
      </c>
      <c r="W110">
        <v>0</v>
      </c>
      <c r="X110" s="12" t="s">
        <v>262</v>
      </c>
      <c r="Y110">
        <v>12</v>
      </c>
      <c r="Z110">
        <v>13.2890625</v>
      </c>
      <c r="AA110" s="12" t="s">
        <v>55</v>
      </c>
      <c r="AB110" s="12" t="s">
        <v>288</v>
      </c>
      <c r="AC110" s="12"/>
    </row>
    <row r="111" spans="1:29" x14ac:dyDescent="0.25">
      <c r="A111">
        <v>595</v>
      </c>
      <c r="B111">
        <v>841</v>
      </c>
      <c r="C111">
        <v>0</v>
      </c>
      <c r="D111" s="12"/>
      <c r="E111" s="12"/>
      <c r="F111" s="12"/>
      <c r="I111" s="12"/>
      <c r="J111" s="12"/>
      <c r="K111" s="12"/>
      <c r="N111">
        <v>0.5</v>
      </c>
      <c r="O111">
        <v>0</v>
      </c>
      <c r="P111" s="12" t="s">
        <v>152</v>
      </c>
      <c r="Q111">
        <v>12</v>
      </c>
      <c r="R111" s="12" t="s">
        <v>225</v>
      </c>
      <c r="S111" s="12" t="s">
        <v>227</v>
      </c>
      <c r="T111" s="12" t="s">
        <v>229</v>
      </c>
      <c r="U111">
        <v>1</v>
      </c>
      <c r="V111">
        <v>0</v>
      </c>
      <c r="W111">
        <v>0</v>
      </c>
      <c r="X111" s="12" t="s">
        <v>263</v>
      </c>
      <c r="Y111">
        <v>18</v>
      </c>
      <c r="Z111">
        <v>13.2890625</v>
      </c>
      <c r="AA111" s="12" t="s">
        <v>55</v>
      </c>
      <c r="AB111" s="12" t="s">
        <v>288</v>
      </c>
      <c r="AC111" s="12"/>
    </row>
    <row r="112" spans="1:29" x14ac:dyDescent="0.25">
      <c r="A112">
        <v>595</v>
      </c>
      <c r="B112">
        <v>841</v>
      </c>
      <c r="C112">
        <v>0</v>
      </c>
      <c r="D112" s="12"/>
      <c r="E112" s="12"/>
      <c r="F112" s="12"/>
      <c r="I112" s="12"/>
      <c r="J112" s="12"/>
      <c r="K112" s="12"/>
      <c r="N112">
        <v>0.5</v>
      </c>
      <c r="O112">
        <v>0</v>
      </c>
      <c r="P112" s="12" t="s">
        <v>153</v>
      </c>
      <c r="Q112">
        <v>12</v>
      </c>
      <c r="R112" s="12" t="s">
        <v>225</v>
      </c>
      <c r="S112" s="12" t="s">
        <v>227</v>
      </c>
      <c r="T112" s="12" t="s">
        <v>229</v>
      </c>
      <c r="U112">
        <v>1</v>
      </c>
      <c r="V112">
        <v>0</v>
      </c>
      <c r="W112">
        <v>0</v>
      </c>
      <c r="X112" s="12"/>
      <c r="Y112">
        <v>3</v>
      </c>
      <c r="Z112">
        <v>13.2890625</v>
      </c>
      <c r="AA112" s="12" t="s">
        <v>55</v>
      </c>
      <c r="AB112" s="12" t="s">
        <v>288</v>
      </c>
      <c r="AC112" s="12"/>
    </row>
    <row r="113" spans="1:29" x14ac:dyDescent="0.25">
      <c r="A113">
        <v>595</v>
      </c>
      <c r="B113">
        <v>841</v>
      </c>
      <c r="C113">
        <v>0</v>
      </c>
      <c r="D113" s="12"/>
      <c r="E113" s="12"/>
      <c r="F113" s="12"/>
      <c r="I113" s="12"/>
      <c r="J113" s="12"/>
      <c r="K113" s="12"/>
      <c r="N113">
        <v>0.5</v>
      </c>
      <c r="O113">
        <v>0</v>
      </c>
      <c r="P113" s="12" t="s">
        <v>154</v>
      </c>
      <c r="Q113">
        <v>12</v>
      </c>
      <c r="R113" s="12" t="s">
        <v>225</v>
      </c>
      <c r="S113" s="12" t="s">
        <v>227</v>
      </c>
      <c r="T113" s="12" t="s">
        <v>229</v>
      </c>
      <c r="U113">
        <v>1</v>
      </c>
      <c r="V113">
        <v>0</v>
      </c>
      <c r="W113">
        <v>0</v>
      </c>
      <c r="X113" s="12" t="s">
        <v>238</v>
      </c>
      <c r="Y113">
        <v>21.996093999999999</v>
      </c>
      <c r="Z113">
        <v>13.2890625</v>
      </c>
      <c r="AA113" s="12" t="s">
        <v>55</v>
      </c>
      <c r="AB113" s="12" t="s">
        <v>288</v>
      </c>
      <c r="AC113" s="12"/>
    </row>
    <row r="114" spans="1:29" x14ac:dyDescent="0.25">
      <c r="A114">
        <v>595</v>
      </c>
      <c r="B114">
        <v>841</v>
      </c>
      <c r="C114">
        <v>0</v>
      </c>
      <c r="D114" s="12"/>
      <c r="E114" s="12"/>
      <c r="F114" s="12"/>
      <c r="I114" s="12"/>
      <c r="J114" s="12"/>
      <c r="K114" s="12"/>
      <c r="N114">
        <v>0.5</v>
      </c>
      <c r="O114">
        <v>0</v>
      </c>
      <c r="P114" s="12" t="s">
        <v>155</v>
      </c>
      <c r="Q114">
        <v>12</v>
      </c>
      <c r="R114" s="12" t="s">
        <v>225</v>
      </c>
      <c r="S114" s="12" t="s">
        <v>227</v>
      </c>
      <c r="T114" s="12" t="s">
        <v>229</v>
      </c>
      <c r="U114">
        <v>1</v>
      </c>
      <c r="V114">
        <v>0</v>
      </c>
      <c r="W114">
        <v>0</v>
      </c>
      <c r="X114" s="12" t="s">
        <v>267</v>
      </c>
      <c r="Y114">
        <v>34.652343999999999</v>
      </c>
      <c r="Z114">
        <v>13.2890625</v>
      </c>
      <c r="AA114" s="12" t="s">
        <v>55</v>
      </c>
      <c r="AB114" s="12" t="s">
        <v>288</v>
      </c>
      <c r="AC114" s="12"/>
    </row>
    <row r="115" spans="1:29" x14ac:dyDescent="0.25">
      <c r="A115">
        <v>595</v>
      </c>
      <c r="B115">
        <v>841</v>
      </c>
      <c r="C115">
        <v>0</v>
      </c>
      <c r="D115" s="12"/>
      <c r="E115" s="12"/>
      <c r="F115" s="12"/>
      <c r="I115" s="12"/>
      <c r="J115" s="12"/>
      <c r="K115" s="12"/>
      <c r="N115">
        <v>0.5</v>
      </c>
      <c r="O115">
        <v>0</v>
      </c>
      <c r="P115" s="12" t="s">
        <v>156</v>
      </c>
      <c r="Q115">
        <v>12</v>
      </c>
      <c r="R115" s="12" t="s">
        <v>225</v>
      </c>
      <c r="S115" s="12" t="s">
        <v>227</v>
      </c>
      <c r="T115" s="12" t="s">
        <v>229</v>
      </c>
      <c r="U115">
        <v>1</v>
      </c>
      <c r="V115">
        <v>0</v>
      </c>
      <c r="W115">
        <v>0</v>
      </c>
      <c r="X115" s="12" t="s">
        <v>268</v>
      </c>
      <c r="Y115">
        <v>36.333984000000001</v>
      </c>
      <c r="Z115">
        <v>13.2890625</v>
      </c>
      <c r="AA115" s="12" t="s">
        <v>55</v>
      </c>
      <c r="AB115" s="12" t="s">
        <v>288</v>
      </c>
      <c r="AC115" s="12"/>
    </row>
    <row r="116" spans="1:29" x14ac:dyDescent="0.25">
      <c r="A116">
        <v>595</v>
      </c>
      <c r="B116">
        <v>841</v>
      </c>
      <c r="C116">
        <v>0</v>
      </c>
      <c r="D116" s="12"/>
      <c r="E116" s="12"/>
      <c r="F116" s="12"/>
      <c r="I116" s="12"/>
      <c r="J116" s="12"/>
      <c r="K116" s="12"/>
      <c r="N116">
        <v>0.5</v>
      </c>
      <c r="O116">
        <v>0</v>
      </c>
      <c r="P116" s="12" t="s">
        <v>157</v>
      </c>
      <c r="Q116">
        <v>12</v>
      </c>
      <c r="R116" s="12" t="s">
        <v>225</v>
      </c>
      <c r="S116" s="12" t="s">
        <v>227</v>
      </c>
      <c r="T116" s="12" t="s">
        <v>229</v>
      </c>
      <c r="U116">
        <v>1</v>
      </c>
      <c r="V116">
        <v>0</v>
      </c>
      <c r="W116">
        <v>0</v>
      </c>
      <c r="X116" s="12"/>
      <c r="Y116">
        <v>3</v>
      </c>
      <c r="Z116">
        <v>13.2890625</v>
      </c>
      <c r="AA116" s="12" t="s">
        <v>55</v>
      </c>
      <c r="AB116" s="12" t="s">
        <v>288</v>
      </c>
      <c r="AC116" s="12"/>
    </row>
    <row r="117" spans="1:29" x14ac:dyDescent="0.25">
      <c r="A117">
        <v>595</v>
      </c>
      <c r="B117">
        <v>841</v>
      </c>
      <c r="C117">
        <v>0</v>
      </c>
      <c r="D117" s="12"/>
      <c r="E117" s="12"/>
      <c r="F117" s="12"/>
      <c r="I117" s="12"/>
      <c r="J117" s="12"/>
      <c r="K117" s="12"/>
      <c r="N117">
        <v>0.5</v>
      </c>
      <c r="O117">
        <v>0</v>
      </c>
      <c r="P117" s="12" t="s">
        <v>158</v>
      </c>
      <c r="Q117">
        <v>12</v>
      </c>
      <c r="R117" s="12" t="s">
        <v>225</v>
      </c>
      <c r="S117" s="12" t="s">
        <v>227</v>
      </c>
      <c r="T117" s="12" t="s">
        <v>229</v>
      </c>
      <c r="U117">
        <v>1</v>
      </c>
      <c r="V117">
        <v>0</v>
      </c>
      <c r="W117">
        <v>0</v>
      </c>
      <c r="X117" s="12" t="s">
        <v>269</v>
      </c>
      <c r="Y117">
        <v>69</v>
      </c>
      <c r="Z117">
        <v>13.2890625</v>
      </c>
      <c r="AA117" s="12" t="s">
        <v>55</v>
      </c>
      <c r="AB117" s="12" t="s">
        <v>288</v>
      </c>
      <c r="AC117" s="12"/>
    </row>
    <row r="118" spans="1:29" x14ac:dyDescent="0.25">
      <c r="A118">
        <v>595</v>
      </c>
      <c r="B118">
        <v>841</v>
      </c>
      <c r="C118">
        <v>0</v>
      </c>
      <c r="D118" s="12"/>
      <c r="E118" s="12"/>
      <c r="F118" s="12"/>
      <c r="I118" s="12"/>
      <c r="J118" s="12"/>
      <c r="K118" s="12"/>
      <c r="N118">
        <v>0.5</v>
      </c>
      <c r="O118">
        <v>0</v>
      </c>
      <c r="P118" s="12" t="s">
        <v>159</v>
      </c>
      <c r="Q118">
        <v>12</v>
      </c>
      <c r="R118" s="12" t="s">
        <v>225</v>
      </c>
      <c r="S118" s="12" t="s">
        <v>227</v>
      </c>
      <c r="T118" s="12" t="s">
        <v>229</v>
      </c>
      <c r="U118">
        <v>1</v>
      </c>
      <c r="V118">
        <v>0</v>
      </c>
      <c r="W118">
        <v>0</v>
      </c>
      <c r="X118" s="12"/>
      <c r="Y118">
        <v>3</v>
      </c>
      <c r="Z118">
        <v>13.2890625</v>
      </c>
      <c r="AA118" s="12" t="s">
        <v>55</v>
      </c>
      <c r="AB118" s="12" t="s">
        <v>288</v>
      </c>
      <c r="AC118" s="12"/>
    </row>
    <row r="119" spans="1:29" x14ac:dyDescent="0.25">
      <c r="A119">
        <v>595</v>
      </c>
      <c r="B119">
        <v>841</v>
      </c>
      <c r="C119">
        <v>0</v>
      </c>
      <c r="D119" s="12"/>
      <c r="E119" s="12"/>
      <c r="F119" s="12"/>
      <c r="I119" s="12"/>
      <c r="J119" s="12"/>
      <c r="K119" s="12"/>
      <c r="N119">
        <v>0.5</v>
      </c>
      <c r="O119">
        <v>0</v>
      </c>
      <c r="P119" s="12" t="s">
        <v>160</v>
      </c>
      <c r="Q119">
        <v>12</v>
      </c>
      <c r="R119" s="12" t="s">
        <v>225</v>
      </c>
      <c r="S119" s="12" t="s">
        <v>227</v>
      </c>
      <c r="T119" s="12" t="s">
        <v>229</v>
      </c>
      <c r="U119">
        <v>1</v>
      </c>
      <c r="V119">
        <v>0</v>
      </c>
      <c r="W119">
        <v>0</v>
      </c>
      <c r="X119" s="12" t="s">
        <v>270</v>
      </c>
      <c r="Y119">
        <v>17.982422</v>
      </c>
      <c r="Z119">
        <v>13.2890625</v>
      </c>
      <c r="AA119" s="12" t="s">
        <v>55</v>
      </c>
      <c r="AB119" s="12" t="s">
        <v>288</v>
      </c>
      <c r="AC119" s="12"/>
    </row>
    <row r="120" spans="1:29" x14ac:dyDescent="0.25">
      <c r="A120">
        <v>595</v>
      </c>
      <c r="B120">
        <v>841</v>
      </c>
      <c r="C120">
        <v>0</v>
      </c>
      <c r="D120" s="12"/>
      <c r="E120" s="12"/>
      <c r="F120" s="12"/>
      <c r="I120" s="12"/>
      <c r="J120" s="12"/>
      <c r="K120" s="12"/>
      <c r="N120">
        <v>0.5</v>
      </c>
      <c r="O120">
        <v>0</v>
      </c>
      <c r="P120" s="12" t="s">
        <v>161</v>
      </c>
      <c r="Q120">
        <v>12</v>
      </c>
      <c r="R120" s="12" t="s">
        <v>225</v>
      </c>
      <c r="S120" s="12" t="s">
        <v>227</v>
      </c>
      <c r="T120" s="12" t="s">
        <v>229</v>
      </c>
      <c r="U120">
        <v>1</v>
      </c>
      <c r="V120">
        <v>0</v>
      </c>
      <c r="W120">
        <v>0</v>
      </c>
      <c r="X120" s="12"/>
      <c r="Y120">
        <v>3</v>
      </c>
      <c r="Z120">
        <v>13.2890625</v>
      </c>
      <c r="AA120" s="12" t="s">
        <v>55</v>
      </c>
      <c r="AB120" s="12" t="s">
        <v>288</v>
      </c>
      <c r="AC120" s="12"/>
    </row>
    <row r="121" spans="1:29" x14ac:dyDescent="0.25">
      <c r="A121">
        <v>595</v>
      </c>
      <c r="B121">
        <v>841</v>
      </c>
      <c r="C121">
        <v>0</v>
      </c>
      <c r="D121" s="12"/>
      <c r="E121" s="12"/>
      <c r="F121" s="12"/>
      <c r="I121" s="12"/>
      <c r="J121" s="12"/>
      <c r="K121" s="12"/>
      <c r="N121">
        <v>0.5</v>
      </c>
      <c r="O121">
        <v>0</v>
      </c>
      <c r="P121" s="12" t="s">
        <v>162</v>
      </c>
      <c r="Q121">
        <v>12</v>
      </c>
      <c r="R121" s="12" t="s">
        <v>225</v>
      </c>
      <c r="S121" s="12" t="s">
        <v>227</v>
      </c>
      <c r="T121" s="12" t="s">
        <v>229</v>
      </c>
      <c r="U121">
        <v>1</v>
      </c>
      <c r="V121">
        <v>0</v>
      </c>
      <c r="W121">
        <v>0</v>
      </c>
      <c r="X121" s="12" t="s">
        <v>260</v>
      </c>
      <c r="Y121">
        <v>35.332030000000003</v>
      </c>
      <c r="Z121">
        <v>13.2890625</v>
      </c>
      <c r="AA121" s="12" t="s">
        <v>55</v>
      </c>
      <c r="AB121" s="12" t="s">
        <v>288</v>
      </c>
      <c r="AC121" s="12"/>
    </row>
    <row r="122" spans="1:29" x14ac:dyDescent="0.25">
      <c r="A122">
        <v>595</v>
      </c>
      <c r="B122">
        <v>841</v>
      </c>
      <c r="C122">
        <v>0</v>
      </c>
      <c r="D122" s="12"/>
      <c r="E122" s="12"/>
      <c r="F122" s="12"/>
      <c r="I122" s="12"/>
      <c r="J122" s="12"/>
      <c r="K122" s="12"/>
      <c r="N122">
        <v>0.5</v>
      </c>
      <c r="O122">
        <v>0</v>
      </c>
      <c r="P122" s="12" t="s">
        <v>163</v>
      </c>
      <c r="Q122">
        <v>12</v>
      </c>
      <c r="R122" s="12" t="s">
        <v>225</v>
      </c>
      <c r="S122" s="12" t="s">
        <v>227</v>
      </c>
      <c r="T122" s="12" t="s">
        <v>229</v>
      </c>
      <c r="U122">
        <v>1</v>
      </c>
      <c r="V122">
        <v>0</v>
      </c>
      <c r="W122">
        <v>0</v>
      </c>
      <c r="X122" s="12"/>
      <c r="Y122">
        <v>3</v>
      </c>
      <c r="Z122">
        <v>13.2890625</v>
      </c>
      <c r="AA122" s="12" t="s">
        <v>55</v>
      </c>
      <c r="AB122" s="12" t="s">
        <v>288</v>
      </c>
      <c r="AC122" s="12"/>
    </row>
    <row r="123" spans="1:29" x14ac:dyDescent="0.25">
      <c r="A123">
        <v>595</v>
      </c>
      <c r="B123">
        <v>841</v>
      </c>
      <c r="C123">
        <v>0</v>
      </c>
      <c r="D123" s="12"/>
      <c r="E123" s="12"/>
      <c r="F123" s="12"/>
      <c r="I123" s="12"/>
      <c r="J123" s="12"/>
      <c r="K123" s="12"/>
      <c r="N123">
        <v>0.5</v>
      </c>
      <c r="O123">
        <v>0</v>
      </c>
      <c r="P123" s="12" t="s">
        <v>164</v>
      </c>
      <c r="Q123">
        <v>12</v>
      </c>
      <c r="R123" s="12" t="s">
        <v>225</v>
      </c>
      <c r="S123" s="12" t="s">
        <v>227</v>
      </c>
      <c r="T123" s="12" t="s">
        <v>229</v>
      </c>
      <c r="U123">
        <v>1</v>
      </c>
      <c r="V123">
        <v>0</v>
      </c>
      <c r="W123">
        <v>0</v>
      </c>
      <c r="X123" s="12" t="s">
        <v>261</v>
      </c>
      <c r="Y123">
        <v>14.677733999999999</v>
      </c>
      <c r="Z123">
        <v>13.2890625</v>
      </c>
      <c r="AA123" s="12" t="s">
        <v>55</v>
      </c>
      <c r="AB123" s="12" t="s">
        <v>288</v>
      </c>
      <c r="AC123" s="12"/>
    </row>
    <row r="124" spans="1:29" x14ac:dyDescent="0.25">
      <c r="A124">
        <v>595</v>
      </c>
      <c r="B124">
        <v>841</v>
      </c>
      <c r="C124">
        <v>0</v>
      </c>
      <c r="D124" s="12"/>
      <c r="E124" s="12"/>
      <c r="F124" s="12"/>
      <c r="I124" s="12"/>
      <c r="J124" s="12"/>
      <c r="K124" s="12"/>
      <c r="N124">
        <v>0.5</v>
      </c>
      <c r="O124">
        <v>0</v>
      </c>
      <c r="P124" s="12" t="s">
        <v>165</v>
      </c>
      <c r="Q124">
        <v>12</v>
      </c>
      <c r="R124" s="12" t="s">
        <v>225</v>
      </c>
      <c r="S124" s="12" t="s">
        <v>227</v>
      </c>
      <c r="T124" s="12" t="s">
        <v>229</v>
      </c>
      <c r="U124">
        <v>1</v>
      </c>
      <c r="V124">
        <v>0</v>
      </c>
      <c r="W124">
        <v>0</v>
      </c>
      <c r="X124" s="12"/>
      <c r="Y124">
        <v>3</v>
      </c>
      <c r="Z124">
        <v>13.2890625</v>
      </c>
      <c r="AA124" s="12" t="s">
        <v>55</v>
      </c>
      <c r="AB124" s="12" t="s">
        <v>288</v>
      </c>
      <c r="AC124" s="12"/>
    </row>
    <row r="125" spans="1:29" x14ac:dyDescent="0.25">
      <c r="A125">
        <v>595</v>
      </c>
      <c r="B125">
        <v>841</v>
      </c>
      <c r="C125">
        <v>0</v>
      </c>
      <c r="D125" s="12"/>
      <c r="E125" s="12"/>
      <c r="F125" s="12"/>
      <c r="I125" s="12"/>
      <c r="J125" s="12"/>
      <c r="K125" s="12"/>
      <c r="N125">
        <v>0.5</v>
      </c>
      <c r="O125">
        <v>0</v>
      </c>
      <c r="P125" s="12" t="s">
        <v>166</v>
      </c>
      <c r="Q125">
        <v>12</v>
      </c>
      <c r="R125" s="12" t="s">
        <v>225</v>
      </c>
      <c r="S125" s="12" t="s">
        <v>227</v>
      </c>
      <c r="T125" s="12" t="s">
        <v>229</v>
      </c>
      <c r="U125">
        <v>1</v>
      </c>
      <c r="V125">
        <v>0</v>
      </c>
      <c r="W125">
        <v>0</v>
      </c>
      <c r="X125" s="12" t="s">
        <v>262</v>
      </c>
      <c r="Y125">
        <v>12</v>
      </c>
      <c r="Z125">
        <v>13.2890625</v>
      </c>
      <c r="AA125" s="12" t="s">
        <v>55</v>
      </c>
      <c r="AB125" s="12" t="s">
        <v>288</v>
      </c>
      <c r="AC125" s="12"/>
    </row>
    <row r="126" spans="1:29" x14ac:dyDescent="0.25">
      <c r="A126">
        <v>595</v>
      </c>
      <c r="B126">
        <v>841</v>
      </c>
      <c r="C126">
        <v>0</v>
      </c>
      <c r="D126" s="12"/>
      <c r="E126" s="12"/>
      <c r="F126" s="12"/>
      <c r="I126" s="12"/>
      <c r="J126" s="12"/>
      <c r="K126" s="12"/>
      <c r="N126">
        <v>0.5</v>
      </c>
      <c r="O126">
        <v>0</v>
      </c>
      <c r="P126" s="12" t="s">
        <v>167</v>
      </c>
      <c r="Q126">
        <v>12</v>
      </c>
      <c r="R126" s="12" t="s">
        <v>225</v>
      </c>
      <c r="S126" s="12" t="s">
        <v>227</v>
      </c>
      <c r="T126" s="12" t="s">
        <v>229</v>
      </c>
      <c r="U126">
        <v>1</v>
      </c>
      <c r="V126">
        <v>0</v>
      </c>
      <c r="W126">
        <v>0</v>
      </c>
      <c r="X126" s="12" t="s">
        <v>263</v>
      </c>
      <c r="Y126">
        <v>18</v>
      </c>
      <c r="Z126">
        <v>13.2890625</v>
      </c>
      <c r="AA126" s="12" t="s">
        <v>55</v>
      </c>
      <c r="AB126" s="12" t="s">
        <v>288</v>
      </c>
      <c r="AC126" s="12"/>
    </row>
    <row r="127" spans="1:29" x14ac:dyDescent="0.25">
      <c r="A127">
        <v>595</v>
      </c>
      <c r="B127">
        <v>841</v>
      </c>
      <c r="C127">
        <v>0</v>
      </c>
      <c r="D127" s="12"/>
      <c r="E127" s="12"/>
      <c r="F127" s="12"/>
      <c r="I127" s="12"/>
      <c r="J127" s="12"/>
      <c r="K127" s="12"/>
      <c r="N127">
        <v>0.5</v>
      </c>
      <c r="O127">
        <v>0</v>
      </c>
      <c r="P127" s="12" t="s">
        <v>168</v>
      </c>
      <c r="Q127">
        <v>12</v>
      </c>
      <c r="R127" s="12" t="s">
        <v>225</v>
      </c>
      <c r="S127" s="12" t="s">
        <v>227</v>
      </c>
      <c r="T127" s="12" t="s">
        <v>229</v>
      </c>
      <c r="U127">
        <v>1</v>
      </c>
      <c r="V127">
        <v>0</v>
      </c>
      <c r="W127">
        <v>0</v>
      </c>
      <c r="X127" s="12"/>
      <c r="Y127">
        <v>3</v>
      </c>
      <c r="Z127">
        <v>13.2890625</v>
      </c>
      <c r="AA127" s="12" t="s">
        <v>55</v>
      </c>
      <c r="AB127" s="12" t="s">
        <v>288</v>
      </c>
      <c r="AC127" s="12"/>
    </row>
    <row r="128" spans="1:29" x14ac:dyDescent="0.25">
      <c r="A128">
        <v>595</v>
      </c>
      <c r="B128">
        <v>841</v>
      </c>
      <c r="C128">
        <v>0</v>
      </c>
      <c r="D128" s="12"/>
      <c r="E128" s="12"/>
      <c r="F128" s="12"/>
      <c r="I128" s="12"/>
      <c r="J128" s="12"/>
      <c r="K128" s="12"/>
      <c r="N128">
        <v>0.5</v>
      </c>
      <c r="O128">
        <v>0</v>
      </c>
      <c r="P128" s="12" t="s">
        <v>169</v>
      </c>
      <c r="Q128">
        <v>12</v>
      </c>
      <c r="R128" s="12" t="s">
        <v>225</v>
      </c>
      <c r="S128" s="12" t="s">
        <v>227</v>
      </c>
      <c r="T128" s="12" t="s">
        <v>229</v>
      </c>
      <c r="U128">
        <v>1</v>
      </c>
      <c r="V128">
        <v>0</v>
      </c>
      <c r="W128">
        <v>0</v>
      </c>
      <c r="X128" s="12" t="s">
        <v>238</v>
      </c>
      <c r="Y128">
        <v>21.996093999999999</v>
      </c>
      <c r="Z128">
        <v>13.2890625</v>
      </c>
      <c r="AA128" s="12" t="s">
        <v>55</v>
      </c>
      <c r="AB128" s="12" t="s">
        <v>288</v>
      </c>
      <c r="AC128" s="12"/>
    </row>
    <row r="129" spans="1:29" x14ac:dyDescent="0.25">
      <c r="A129">
        <v>595</v>
      </c>
      <c r="B129">
        <v>841</v>
      </c>
      <c r="C129">
        <v>0</v>
      </c>
      <c r="D129" s="12"/>
      <c r="E129" s="12"/>
      <c r="F129" s="12"/>
      <c r="I129" s="12"/>
      <c r="J129" s="12"/>
      <c r="K129" s="12"/>
      <c r="N129">
        <v>0.5</v>
      </c>
      <c r="O129">
        <v>0</v>
      </c>
      <c r="P129" s="12" t="s">
        <v>170</v>
      </c>
      <c r="Q129">
        <v>12</v>
      </c>
      <c r="R129" s="12" t="s">
        <v>226</v>
      </c>
      <c r="S129" s="12" t="s">
        <v>228</v>
      </c>
      <c r="T129" s="12" t="s">
        <v>229</v>
      </c>
      <c r="U129">
        <v>2</v>
      </c>
      <c r="V129">
        <v>0</v>
      </c>
      <c r="W129">
        <v>0</v>
      </c>
      <c r="X129" s="12" t="s">
        <v>273</v>
      </c>
      <c r="Y129">
        <v>148.125</v>
      </c>
      <c r="Z129">
        <v>13.2890625</v>
      </c>
      <c r="AA129" s="12" t="s">
        <v>55</v>
      </c>
      <c r="AB129" s="12" t="s">
        <v>288</v>
      </c>
      <c r="AC129" s="12"/>
    </row>
    <row r="130" spans="1:29" x14ac:dyDescent="0.25">
      <c r="A130">
        <v>595</v>
      </c>
      <c r="B130">
        <v>841</v>
      </c>
      <c r="C130">
        <v>0</v>
      </c>
      <c r="D130" s="12"/>
      <c r="E130" s="12"/>
      <c r="F130" s="12"/>
      <c r="I130" s="12"/>
      <c r="J130" s="12"/>
      <c r="K130" s="12"/>
      <c r="N130">
        <v>0.5</v>
      </c>
      <c r="O130">
        <v>0</v>
      </c>
      <c r="P130" s="12" t="s">
        <v>171</v>
      </c>
      <c r="Q130">
        <v>12</v>
      </c>
      <c r="R130" s="12" t="s">
        <v>226</v>
      </c>
      <c r="S130" s="12" t="s">
        <v>228</v>
      </c>
      <c r="T130" s="12" t="s">
        <v>229</v>
      </c>
      <c r="U130">
        <v>2</v>
      </c>
      <c r="V130">
        <v>0</v>
      </c>
      <c r="W130">
        <v>0</v>
      </c>
      <c r="X130" s="12" t="s">
        <v>248</v>
      </c>
      <c r="Y130">
        <v>9</v>
      </c>
      <c r="Z130">
        <v>13.2890625</v>
      </c>
      <c r="AA130" s="12" t="s">
        <v>55</v>
      </c>
      <c r="AB130" s="12" t="s">
        <v>288</v>
      </c>
      <c r="AC130" s="12"/>
    </row>
    <row r="131" spans="1:29" x14ac:dyDescent="0.25">
      <c r="A131">
        <v>595</v>
      </c>
      <c r="B131">
        <v>841</v>
      </c>
      <c r="C131">
        <v>0</v>
      </c>
      <c r="D131" s="12"/>
      <c r="E131" s="12"/>
      <c r="F131" s="12"/>
      <c r="I131" s="12"/>
      <c r="J131" s="12"/>
      <c r="K131" s="12"/>
      <c r="N131">
        <v>0.5</v>
      </c>
      <c r="O131">
        <v>0</v>
      </c>
      <c r="P131" s="12" t="s">
        <v>172</v>
      </c>
      <c r="Q131">
        <v>12</v>
      </c>
      <c r="R131" s="12" t="s">
        <v>226</v>
      </c>
      <c r="S131" s="12" t="s">
        <v>228</v>
      </c>
      <c r="T131" s="12" t="s">
        <v>229</v>
      </c>
      <c r="U131">
        <v>2</v>
      </c>
      <c r="V131">
        <v>0</v>
      </c>
      <c r="W131">
        <v>0</v>
      </c>
      <c r="X131" s="12"/>
      <c r="Y131">
        <v>3</v>
      </c>
      <c r="Z131">
        <v>13.2890625</v>
      </c>
      <c r="AA131" s="12" t="s">
        <v>55</v>
      </c>
      <c r="AB131" s="12" t="s">
        <v>288</v>
      </c>
      <c r="AC131" s="12"/>
    </row>
    <row r="132" spans="1:29" x14ac:dyDescent="0.25">
      <c r="A132">
        <v>595</v>
      </c>
      <c r="B132">
        <v>841</v>
      </c>
      <c r="C132">
        <v>0</v>
      </c>
      <c r="D132" s="12"/>
      <c r="E132" s="12"/>
      <c r="F132" s="12"/>
      <c r="I132" s="12"/>
      <c r="J132" s="12"/>
      <c r="K132" s="12"/>
      <c r="N132">
        <v>0.5</v>
      </c>
      <c r="O132">
        <v>0</v>
      </c>
      <c r="P132" s="12" t="s">
        <v>173</v>
      </c>
      <c r="Q132">
        <v>12</v>
      </c>
      <c r="R132" s="12" t="s">
        <v>226</v>
      </c>
      <c r="S132" s="12" t="s">
        <v>228</v>
      </c>
      <c r="T132" s="12" t="s">
        <v>229</v>
      </c>
      <c r="U132">
        <v>2</v>
      </c>
      <c r="V132">
        <v>0</v>
      </c>
      <c r="W132">
        <v>0</v>
      </c>
      <c r="X132" s="12" t="s">
        <v>274</v>
      </c>
      <c r="Y132">
        <v>98.308589999999995</v>
      </c>
      <c r="Z132">
        <v>13.2890625</v>
      </c>
      <c r="AA132" s="12" t="s">
        <v>55</v>
      </c>
      <c r="AB132" s="12" t="s">
        <v>288</v>
      </c>
      <c r="AC132" s="12"/>
    </row>
    <row r="133" spans="1:29" x14ac:dyDescent="0.25">
      <c r="A133">
        <v>595</v>
      </c>
      <c r="B133">
        <v>841</v>
      </c>
      <c r="C133">
        <v>0</v>
      </c>
      <c r="D133" s="12"/>
      <c r="E133" s="12"/>
      <c r="F133" s="12"/>
      <c r="I133" s="12"/>
      <c r="J133" s="12"/>
      <c r="K133" s="12"/>
      <c r="N133">
        <v>0.5</v>
      </c>
      <c r="O133">
        <v>0</v>
      </c>
      <c r="P133" s="12" t="s">
        <v>174</v>
      </c>
      <c r="Q133">
        <v>12</v>
      </c>
      <c r="R133" s="12" t="s">
        <v>226</v>
      </c>
      <c r="S133" s="12" t="s">
        <v>228</v>
      </c>
      <c r="T133" s="12" t="s">
        <v>229</v>
      </c>
      <c r="U133">
        <v>2</v>
      </c>
      <c r="V133">
        <v>0</v>
      </c>
      <c r="W133">
        <v>0</v>
      </c>
      <c r="X133" s="12"/>
      <c r="Y133">
        <v>3</v>
      </c>
      <c r="Z133">
        <v>13.2890625</v>
      </c>
      <c r="AA133" s="12" t="s">
        <v>55</v>
      </c>
      <c r="AB133" s="12" t="s">
        <v>288</v>
      </c>
      <c r="AC133" s="12"/>
    </row>
    <row r="134" spans="1:29" x14ac:dyDescent="0.25">
      <c r="A134">
        <v>595</v>
      </c>
      <c r="B134">
        <v>841</v>
      </c>
      <c r="C134">
        <v>0</v>
      </c>
      <c r="D134" s="12"/>
      <c r="E134" s="12"/>
      <c r="F134" s="12"/>
      <c r="I134" s="12"/>
      <c r="J134" s="12"/>
      <c r="K134" s="12"/>
      <c r="N134">
        <v>0.5</v>
      </c>
      <c r="O134">
        <v>0</v>
      </c>
      <c r="P134" s="12" t="s">
        <v>175</v>
      </c>
      <c r="Q134">
        <v>12</v>
      </c>
      <c r="R134" s="12" t="s">
        <v>226</v>
      </c>
      <c r="S134" s="12" t="s">
        <v>228</v>
      </c>
      <c r="T134" s="12" t="s">
        <v>229</v>
      </c>
      <c r="U134">
        <v>2</v>
      </c>
      <c r="V134">
        <v>0</v>
      </c>
      <c r="W134">
        <v>0</v>
      </c>
      <c r="X134" s="12" t="s">
        <v>250</v>
      </c>
      <c r="Y134">
        <v>6</v>
      </c>
      <c r="Z134">
        <v>13.2890625</v>
      </c>
      <c r="AA134" s="12" t="s">
        <v>55</v>
      </c>
      <c r="AB134" s="12" t="s">
        <v>288</v>
      </c>
      <c r="AC134" s="12"/>
    </row>
    <row r="135" spans="1:29" x14ac:dyDescent="0.25">
      <c r="A135">
        <v>595</v>
      </c>
      <c r="B135">
        <v>841</v>
      </c>
      <c r="C135">
        <v>0</v>
      </c>
      <c r="D135" s="12"/>
      <c r="E135" s="12"/>
      <c r="F135" s="12"/>
      <c r="I135" s="12"/>
      <c r="J135" s="12"/>
      <c r="K135" s="12"/>
      <c r="N135">
        <v>0.5</v>
      </c>
      <c r="O135">
        <v>0</v>
      </c>
      <c r="P135" s="12" t="s">
        <v>176</v>
      </c>
      <c r="Q135">
        <v>12</v>
      </c>
      <c r="R135" s="12" t="s">
        <v>226</v>
      </c>
      <c r="S135" s="12" t="s">
        <v>228</v>
      </c>
      <c r="T135" s="12" t="s">
        <v>229</v>
      </c>
      <c r="U135">
        <v>2</v>
      </c>
      <c r="V135">
        <v>0</v>
      </c>
      <c r="W135">
        <v>0</v>
      </c>
      <c r="X135" s="12"/>
      <c r="Y135">
        <v>3</v>
      </c>
      <c r="Z135">
        <v>13.2890625</v>
      </c>
      <c r="AA135" s="12" t="s">
        <v>55</v>
      </c>
      <c r="AB135" s="12" t="s">
        <v>288</v>
      </c>
      <c r="AC135" s="12"/>
    </row>
    <row r="136" spans="1:29" x14ac:dyDescent="0.25">
      <c r="A136">
        <v>595</v>
      </c>
      <c r="B136">
        <v>841</v>
      </c>
      <c r="C136">
        <v>0</v>
      </c>
      <c r="D136" s="12"/>
      <c r="E136" s="12"/>
      <c r="F136" s="12"/>
      <c r="I136" s="12"/>
      <c r="J136" s="12"/>
      <c r="K136" s="12"/>
      <c r="N136">
        <v>0.5</v>
      </c>
      <c r="O136">
        <v>0</v>
      </c>
      <c r="P136" s="12" t="s">
        <v>177</v>
      </c>
      <c r="Q136">
        <v>12</v>
      </c>
      <c r="R136" s="12" t="s">
        <v>226</v>
      </c>
      <c r="S136" s="12" t="s">
        <v>228</v>
      </c>
      <c r="T136" s="12" t="s">
        <v>229</v>
      </c>
      <c r="U136">
        <v>2</v>
      </c>
      <c r="V136">
        <v>0</v>
      </c>
      <c r="W136">
        <v>0</v>
      </c>
      <c r="X136" s="12" t="s">
        <v>275</v>
      </c>
      <c r="Y136">
        <v>27</v>
      </c>
      <c r="Z136">
        <v>13.2890625</v>
      </c>
      <c r="AA136" s="12" t="s">
        <v>55</v>
      </c>
      <c r="AB136" s="12" t="s">
        <v>288</v>
      </c>
      <c r="AC136" s="12"/>
    </row>
    <row r="137" spans="1:29" x14ac:dyDescent="0.25">
      <c r="A137">
        <v>595</v>
      </c>
      <c r="B137">
        <v>841</v>
      </c>
      <c r="C137">
        <v>0</v>
      </c>
      <c r="D137" s="12"/>
      <c r="E137" s="12"/>
      <c r="F137" s="12"/>
      <c r="I137" s="12"/>
      <c r="J137" s="12"/>
      <c r="K137" s="12"/>
      <c r="N137">
        <v>0.5</v>
      </c>
      <c r="O137">
        <v>0</v>
      </c>
      <c r="P137" s="12" t="s">
        <v>178</v>
      </c>
      <c r="Q137">
        <v>12</v>
      </c>
      <c r="R137" s="12" t="s">
        <v>226</v>
      </c>
      <c r="S137" s="12" t="s">
        <v>228</v>
      </c>
      <c r="T137" s="12" t="s">
        <v>229</v>
      </c>
      <c r="U137">
        <v>2</v>
      </c>
      <c r="V137">
        <v>0</v>
      </c>
      <c r="W137">
        <v>0</v>
      </c>
      <c r="X137" s="12"/>
      <c r="Y137">
        <v>3</v>
      </c>
      <c r="Z137">
        <v>13.2890625</v>
      </c>
      <c r="AA137" s="12" t="s">
        <v>55</v>
      </c>
      <c r="AB137" s="12" t="s">
        <v>288</v>
      </c>
      <c r="AC137" s="12"/>
    </row>
    <row r="138" spans="1:29" x14ac:dyDescent="0.25">
      <c r="A138">
        <v>595</v>
      </c>
      <c r="B138">
        <v>841</v>
      </c>
      <c r="C138">
        <v>0</v>
      </c>
      <c r="D138" s="12"/>
      <c r="E138" s="12"/>
      <c r="F138" s="12"/>
      <c r="I138" s="12"/>
      <c r="J138" s="12"/>
      <c r="K138" s="12"/>
      <c r="N138">
        <v>0.5</v>
      </c>
      <c r="O138">
        <v>0</v>
      </c>
      <c r="P138" s="12" t="s">
        <v>179</v>
      </c>
      <c r="Q138">
        <v>12</v>
      </c>
      <c r="R138" s="12" t="s">
        <v>226</v>
      </c>
      <c r="S138" s="12" t="s">
        <v>228</v>
      </c>
      <c r="T138" s="12" t="s">
        <v>229</v>
      </c>
      <c r="U138">
        <v>2</v>
      </c>
      <c r="V138">
        <v>0</v>
      </c>
      <c r="W138">
        <v>0</v>
      </c>
      <c r="X138" s="12" t="s">
        <v>276</v>
      </c>
      <c r="Y138">
        <v>77.648439999999994</v>
      </c>
      <c r="Z138">
        <v>13.2890625</v>
      </c>
      <c r="AA138" s="12" t="s">
        <v>55</v>
      </c>
      <c r="AB138" s="12" t="s">
        <v>288</v>
      </c>
      <c r="AC138" s="12"/>
    </row>
    <row r="139" spans="1:29" x14ac:dyDescent="0.25">
      <c r="A139">
        <v>595</v>
      </c>
      <c r="B139">
        <v>841</v>
      </c>
      <c r="C139">
        <v>0</v>
      </c>
      <c r="D139" s="12"/>
      <c r="E139" s="12"/>
      <c r="F139" s="12"/>
      <c r="I139" s="12"/>
      <c r="J139" s="12"/>
      <c r="K139" s="12"/>
      <c r="N139">
        <v>0.5</v>
      </c>
      <c r="O139">
        <v>0</v>
      </c>
      <c r="P139" s="12" t="s">
        <v>180</v>
      </c>
      <c r="Q139">
        <v>12</v>
      </c>
      <c r="R139" s="12" t="s">
        <v>226</v>
      </c>
      <c r="S139" s="12" t="s">
        <v>228</v>
      </c>
      <c r="T139" s="12" t="s">
        <v>229</v>
      </c>
      <c r="U139">
        <v>2</v>
      </c>
      <c r="V139">
        <v>0</v>
      </c>
      <c r="W139">
        <v>0</v>
      </c>
      <c r="X139" s="12"/>
      <c r="Y139">
        <v>3</v>
      </c>
      <c r="Z139">
        <v>13.2890625</v>
      </c>
      <c r="AA139" s="12" t="s">
        <v>55</v>
      </c>
      <c r="AB139" s="12" t="s">
        <v>288</v>
      </c>
      <c r="AC139" s="12"/>
    </row>
    <row r="140" spans="1:29" x14ac:dyDescent="0.25">
      <c r="A140">
        <v>595</v>
      </c>
      <c r="B140">
        <v>841</v>
      </c>
      <c r="C140">
        <v>0</v>
      </c>
      <c r="D140" s="12"/>
      <c r="E140" s="12"/>
      <c r="F140" s="12"/>
      <c r="I140" s="12"/>
      <c r="J140" s="12"/>
      <c r="K140" s="12"/>
      <c r="N140">
        <v>0.5</v>
      </c>
      <c r="O140">
        <v>0</v>
      </c>
      <c r="P140" s="12" t="s">
        <v>181</v>
      </c>
      <c r="Q140">
        <v>12</v>
      </c>
      <c r="R140" s="12" t="s">
        <v>226</v>
      </c>
      <c r="S140" s="12" t="s">
        <v>228</v>
      </c>
      <c r="T140" s="12" t="s">
        <v>229</v>
      </c>
      <c r="U140">
        <v>2</v>
      </c>
      <c r="V140">
        <v>0</v>
      </c>
      <c r="W140">
        <v>0</v>
      </c>
      <c r="X140" s="12" t="s">
        <v>250</v>
      </c>
      <c r="Y140">
        <v>6</v>
      </c>
      <c r="Z140">
        <v>13.2890625</v>
      </c>
      <c r="AA140" s="12" t="s">
        <v>55</v>
      </c>
      <c r="AB140" s="12" t="s">
        <v>288</v>
      </c>
      <c r="AC140" s="12"/>
    </row>
    <row r="141" spans="1:29" x14ac:dyDescent="0.25">
      <c r="A141">
        <v>595</v>
      </c>
      <c r="B141">
        <v>841</v>
      </c>
      <c r="C141">
        <v>0</v>
      </c>
      <c r="D141" s="12"/>
      <c r="E141" s="12"/>
      <c r="F141" s="12"/>
      <c r="I141" s="12"/>
      <c r="J141" s="12"/>
      <c r="K141" s="12"/>
      <c r="N141">
        <v>0.5</v>
      </c>
      <c r="O141">
        <v>0</v>
      </c>
      <c r="P141" s="12" t="s">
        <v>182</v>
      </c>
      <c r="Q141">
        <v>12</v>
      </c>
      <c r="R141" s="12" t="s">
        <v>226</v>
      </c>
      <c r="S141" s="12" t="s">
        <v>228</v>
      </c>
      <c r="T141" s="12" t="s">
        <v>229</v>
      </c>
      <c r="U141">
        <v>2</v>
      </c>
      <c r="V141">
        <v>0</v>
      </c>
      <c r="W141">
        <v>0</v>
      </c>
      <c r="X141" s="12"/>
      <c r="Y141">
        <v>3</v>
      </c>
      <c r="Z141">
        <v>13.2890625</v>
      </c>
      <c r="AA141" s="12" t="s">
        <v>55</v>
      </c>
      <c r="AB141" s="12" t="s">
        <v>288</v>
      </c>
      <c r="AC141" s="12"/>
    </row>
    <row r="142" spans="1:29" x14ac:dyDescent="0.25">
      <c r="A142">
        <v>595</v>
      </c>
      <c r="B142">
        <v>841</v>
      </c>
      <c r="C142">
        <v>0</v>
      </c>
      <c r="D142" s="12"/>
      <c r="E142" s="12"/>
      <c r="F142" s="12"/>
      <c r="I142" s="12"/>
      <c r="J142" s="12"/>
      <c r="K142" s="12"/>
      <c r="N142">
        <v>0.5</v>
      </c>
      <c r="O142">
        <v>0</v>
      </c>
      <c r="P142" s="12" t="s">
        <v>183</v>
      </c>
      <c r="Q142">
        <v>12</v>
      </c>
      <c r="R142" s="12" t="s">
        <v>226</v>
      </c>
      <c r="S142" s="12" t="s">
        <v>228</v>
      </c>
      <c r="T142" s="12" t="s">
        <v>229</v>
      </c>
      <c r="U142">
        <v>2</v>
      </c>
      <c r="V142">
        <v>0</v>
      </c>
      <c r="W142">
        <v>0</v>
      </c>
      <c r="X142" s="12" t="s">
        <v>277</v>
      </c>
      <c r="Y142">
        <v>27</v>
      </c>
      <c r="Z142">
        <v>13.2890625</v>
      </c>
      <c r="AA142" s="12" t="s">
        <v>55</v>
      </c>
      <c r="AB142" s="12" t="s">
        <v>288</v>
      </c>
      <c r="AC142" s="12"/>
    </row>
    <row r="143" spans="1:29" x14ac:dyDescent="0.25">
      <c r="A143">
        <v>595</v>
      </c>
      <c r="B143">
        <v>841</v>
      </c>
      <c r="C143">
        <v>0</v>
      </c>
      <c r="D143" s="12"/>
      <c r="E143" s="12"/>
      <c r="F143" s="12"/>
      <c r="I143" s="12"/>
      <c r="J143" s="12"/>
      <c r="K143" s="12"/>
      <c r="N143">
        <v>0.5</v>
      </c>
      <c r="O143">
        <v>0</v>
      </c>
      <c r="P143" s="12" t="s">
        <v>184</v>
      </c>
      <c r="Q143">
        <v>12</v>
      </c>
      <c r="R143" s="12" t="s">
        <v>226</v>
      </c>
      <c r="S143" s="12" t="s">
        <v>228</v>
      </c>
      <c r="T143" s="12" t="s">
        <v>229</v>
      </c>
      <c r="U143">
        <v>2</v>
      </c>
      <c r="V143">
        <v>0</v>
      </c>
      <c r="W143">
        <v>0</v>
      </c>
      <c r="X143" s="12"/>
      <c r="Y143">
        <v>3</v>
      </c>
      <c r="Z143">
        <v>13.2890625</v>
      </c>
      <c r="AA143" s="12" t="s">
        <v>55</v>
      </c>
      <c r="AB143" s="12" t="s">
        <v>288</v>
      </c>
      <c r="AC143" s="12"/>
    </row>
    <row r="144" spans="1:29" x14ac:dyDescent="0.25">
      <c r="A144">
        <v>595</v>
      </c>
      <c r="B144">
        <v>841</v>
      </c>
      <c r="C144">
        <v>0</v>
      </c>
      <c r="D144" s="12"/>
      <c r="E144" s="12"/>
      <c r="F144" s="12"/>
      <c r="I144" s="12"/>
      <c r="J144" s="12"/>
      <c r="K144" s="12"/>
      <c r="N144">
        <v>0.5</v>
      </c>
      <c r="O144">
        <v>0</v>
      </c>
      <c r="P144" s="12" t="s">
        <v>185</v>
      </c>
      <c r="Q144">
        <v>12</v>
      </c>
      <c r="R144" s="12" t="s">
        <v>226</v>
      </c>
      <c r="S144" s="12" t="s">
        <v>228</v>
      </c>
      <c r="T144" s="12" t="s">
        <v>229</v>
      </c>
      <c r="U144">
        <v>2</v>
      </c>
      <c r="V144">
        <v>0</v>
      </c>
      <c r="W144">
        <v>0</v>
      </c>
      <c r="X144" s="12" t="s">
        <v>278</v>
      </c>
      <c r="Y144">
        <v>65.003910000000005</v>
      </c>
      <c r="Z144">
        <v>13.2890625</v>
      </c>
      <c r="AA144" s="12" t="s">
        <v>55</v>
      </c>
      <c r="AB144" s="12" t="s">
        <v>288</v>
      </c>
      <c r="AC144" s="12"/>
    </row>
    <row r="145" spans="1:29" x14ac:dyDescent="0.25">
      <c r="A145">
        <v>595</v>
      </c>
      <c r="B145">
        <v>841</v>
      </c>
      <c r="C145">
        <v>0</v>
      </c>
      <c r="D145" s="12"/>
      <c r="E145" s="12"/>
      <c r="F145" s="12"/>
      <c r="I145" s="12"/>
      <c r="J145" s="12"/>
      <c r="K145" s="12"/>
      <c r="N145">
        <v>0.5</v>
      </c>
      <c r="O145">
        <v>0</v>
      </c>
      <c r="P145" s="12" t="s">
        <v>186</v>
      </c>
      <c r="Q145">
        <v>12</v>
      </c>
      <c r="R145" s="12" t="s">
        <v>226</v>
      </c>
      <c r="S145" s="12" t="s">
        <v>228</v>
      </c>
      <c r="T145" s="12" t="s">
        <v>229</v>
      </c>
      <c r="U145">
        <v>2</v>
      </c>
      <c r="V145">
        <v>0</v>
      </c>
      <c r="W145">
        <v>0</v>
      </c>
      <c r="X145" s="12"/>
      <c r="Y145">
        <v>3</v>
      </c>
      <c r="Z145">
        <v>13.2890625</v>
      </c>
      <c r="AA145" s="12" t="s">
        <v>55</v>
      </c>
      <c r="AB145" s="12" t="s">
        <v>288</v>
      </c>
      <c r="AC145" s="12"/>
    </row>
    <row r="146" spans="1:29" x14ac:dyDescent="0.25">
      <c r="A146">
        <v>595</v>
      </c>
      <c r="B146">
        <v>841</v>
      </c>
      <c r="C146">
        <v>0</v>
      </c>
      <c r="D146" s="12"/>
      <c r="E146" s="12"/>
      <c r="F146" s="12"/>
      <c r="I146" s="12"/>
      <c r="J146" s="12"/>
      <c r="K146" s="12"/>
      <c r="N146">
        <v>0.5</v>
      </c>
      <c r="O146">
        <v>0</v>
      </c>
      <c r="P146" s="12" t="s">
        <v>187</v>
      </c>
      <c r="Q146">
        <v>12</v>
      </c>
      <c r="R146" s="12" t="s">
        <v>226</v>
      </c>
      <c r="S146" s="12" t="s">
        <v>228</v>
      </c>
      <c r="T146" s="12" t="s">
        <v>229</v>
      </c>
      <c r="U146">
        <v>2</v>
      </c>
      <c r="V146">
        <v>0</v>
      </c>
      <c r="W146">
        <v>0</v>
      </c>
      <c r="X146" s="12" t="s">
        <v>279</v>
      </c>
      <c r="Y146">
        <v>62.337890000000002</v>
      </c>
      <c r="Z146">
        <v>13.2890625</v>
      </c>
      <c r="AA146" s="12" t="s">
        <v>55</v>
      </c>
      <c r="AB146" s="12" t="s">
        <v>288</v>
      </c>
      <c r="AC146" s="12"/>
    </row>
    <row r="147" spans="1:29" x14ac:dyDescent="0.25">
      <c r="A147">
        <v>595</v>
      </c>
      <c r="B147">
        <v>841</v>
      </c>
      <c r="C147">
        <v>0</v>
      </c>
      <c r="D147" s="12"/>
      <c r="E147" s="12"/>
      <c r="F147" s="12"/>
      <c r="I147" s="12"/>
      <c r="J147" s="12"/>
      <c r="K147" s="12"/>
      <c r="N147">
        <v>0.5</v>
      </c>
      <c r="O147">
        <v>0</v>
      </c>
      <c r="P147" s="12" t="s">
        <v>188</v>
      </c>
      <c r="Q147">
        <v>12</v>
      </c>
      <c r="R147" s="12" t="s">
        <v>226</v>
      </c>
      <c r="S147" s="12" t="s">
        <v>228</v>
      </c>
      <c r="T147" s="12" t="s">
        <v>229</v>
      </c>
      <c r="U147">
        <v>2</v>
      </c>
      <c r="V147">
        <v>0</v>
      </c>
      <c r="W147">
        <v>0</v>
      </c>
      <c r="X147" s="12" t="s">
        <v>271</v>
      </c>
      <c r="Y147">
        <v>32.654297</v>
      </c>
      <c r="Z147">
        <v>13.2890625</v>
      </c>
      <c r="AA147" s="12" t="s">
        <v>55</v>
      </c>
      <c r="AB147" s="12" t="s">
        <v>288</v>
      </c>
      <c r="AC147" s="12"/>
    </row>
    <row r="148" spans="1:29" x14ac:dyDescent="0.25">
      <c r="A148">
        <v>595</v>
      </c>
      <c r="B148">
        <v>841</v>
      </c>
      <c r="C148">
        <v>0</v>
      </c>
      <c r="D148" s="12"/>
      <c r="E148" s="12"/>
      <c r="F148" s="12"/>
      <c r="I148" s="12"/>
      <c r="J148" s="12"/>
      <c r="K148" s="12"/>
      <c r="N148">
        <v>0.5</v>
      </c>
      <c r="O148">
        <v>0</v>
      </c>
      <c r="P148" s="12" t="s">
        <v>189</v>
      </c>
      <c r="Q148">
        <v>12</v>
      </c>
      <c r="R148" s="12" t="s">
        <v>226</v>
      </c>
      <c r="S148" s="12" t="s">
        <v>228</v>
      </c>
      <c r="T148" s="12" t="s">
        <v>229</v>
      </c>
      <c r="U148">
        <v>2</v>
      </c>
      <c r="V148">
        <v>0</v>
      </c>
      <c r="W148">
        <v>0</v>
      </c>
      <c r="X148" s="12"/>
      <c r="Y148">
        <v>3</v>
      </c>
      <c r="Z148">
        <v>13.2890625</v>
      </c>
      <c r="AA148" s="12" t="s">
        <v>55</v>
      </c>
      <c r="AB148" s="12" t="s">
        <v>288</v>
      </c>
      <c r="AC148" s="12"/>
    </row>
    <row r="149" spans="1:29" x14ac:dyDescent="0.25">
      <c r="A149">
        <v>595</v>
      </c>
      <c r="B149">
        <v>841</v>
      </c>
      <c r="C149">
        <v>0</v>
      </c>
      <c r="D149" s="12"/>
      <c r="E149" s="12"/>
      <c r="F149" s="12"/>
      <c r="I149" s="12"/>
      <c r="J149" s="12"/>
      <c r="K149" s="12"/>
      <c r="N149">
        <v>0.5</v>
      </c>
      <c r="O149">
        <v>0</v>
      </c>
      <c r="P149" s="12" t="s">
        <v>190</v>
      </c>
      <c r="Q149">
        <v>12</v>
      </c>
      <c r="R149" s="12" t="s">
        <v>226</v>
      </c>
      <c r="S149" s="12" t="s">
        <v>228</v>
      </c>
      <c r="T149" s="12" t="s">
        <v>229</v>
      </c>
      <c r="U149">
        <v>2</v>
      </c>
      <c r="V149">
        <v>0</v>
      </c>
      <c r="W149">
        <v>0</v>
      </c>
      <c r="X149" s="12" t="s">
        <v>272</v>
      </c>
      <c r="Y149">
        <v>19.992187999999999</v>
      </c>
      <c r="Z149">
        <v>13.2890625</v>
      </c>
      <c r="AA149" s="12" t="s">
        <v>55</v>
      </c>
      <c r="AB149" s="12" t="s">
        <v>288</v>
      </c>
      <c r="AC149" s="12"/>
    </row>
    <row r="150" spans="1:29" x14ac:dyDescent="0.25">
      <c r="A150">
        <v>595</v>
      </c>
      <c r="B150">
        <v>841</v>
      </c>
      <c r="C150">
        <v>0</v>
      </c>
      <c r="D150" s="12"/>
      <c r="E150" s="12"/>
      <c r="F150" s="12"/>
      <c r="I150" s="12"/>
      <c r="J150" s="12"/>
      <c r="K150" s="12"/>
      <c r="N150">
        <v>0.5</v>
      </c>
      <c r="O150">
        <v>0</v>
      </c>
      <c r="P150" s="12" t="s">
        <v>191</v>
      </c>
      <c r="Q150">
        <v>12</v>
      </c>
      <c r="R150" s="12" t="s">
        <v>226</v>
      </c>
      <c r="S150" s="12" t="s">
        <v>228</v>
      </c>
      <c r="T150" s="12" t="s">
        <v>229</v>
      </c>
      <c r="U150">
        <v>2</v>
      </c>
      <c r="V150">
        <v>0</v>
      </c>
      <c r="W150">
        <v>0</v>
      </c>
      <c r="X150" s="12"/>
      <c r="Y150">
        <v>3</v>
      </c>
      <c r="Z150">
        <v>13.2890625</v>
      </c>
      <c r="AA150" s="12" t="s">
        <v>55</v>
      </c>
      <c r="AB150" s="12" t="s">
        <v>288</v>
      </c>
      <c r="AC150" s="12"/>
    </row>
    <row r="151" spans="1:29" x14ac:dyDescent="0.25">
      <c r="A151">
        <v>595</v>
      </c>
      <c r="B151">
        <v>841</v>
      </c>
      <c r="C151">
        <v>0</v>
      </c>
      <c r="D151" s="12"/>
      <c r="E151" s="12"/>
      <c r="F151" s="12"/>
      <c r="I151" s="12"/>
      <c r="J151" s="12"/>
      <c r="K151" s="12"/>
      <c r="N151">
        <v>0.5</v>
      </c>
      <c r="O151">
        <v>0</v>
      </c>
      <c r="P151" s="12" t="s">
        <v>192</v>
      </c>
      <c r="Q151">
        <v>12</v>
      </c>
      <c r="R151" s="12" t="s">
        <v>226</v>
      </c>
      <c r="S151" s="12" t="s">
        <v>228</v>
      </c>
      <c r="T151" s="12" t="s">
        <v>229</v>
      </c>
      <c r="U151">
        <v>2</v>
      </c>
      <c r="V151">
        <v>0</v>
      </c>
      <c r="W151">
        <v>0</v>
      </c>
      <c r="X151" s="12" t="s">
        <v>262</v>
      </c>
      <c r="Y151">
        <v>12</v>
      </c>
      <c r="Z151">
        <v>13.2890625</v>
      </c>
      <c r="AA151" s="12" t="s">
        <v>55</v>
      </c>
      <c r="AB151" s="12" t="s">
        <v>288</v>
      </c>
      <c r="AC151" s="12"/>
    </row>
    <row r="152" spans="1:29" x14ac:dyDescent="0.25">
      <c r="A152">
        <v>595</v>
      </c>
      <c r="B152">
        <v>841</v>
      </c>
      <c r="C152">
        <v>0</v>
      </c>
      <c r="D152" s="12"/>
      <c r="E152" s="12"/>
      <c r="F152" s="12"/>
      <c r="I152" s="12"/>
      <c r="J152" s="12"/>
      <c r="K152" s="12"/>
      <c r="N152">
        <v>0.5</v>
      </c>
      <c r="O152">
        <v>0</v>
      </c>
      <c r="P152" s="12" t="s">
        <v>193</v>
      </c>
      <c r="Q152">
        <v>12</v>
      </c>
      <c r="R152" s="12" t="s">
        <v>226</v>
      </c>
      <c r="S152" s="12" t="s">
        <v>228</v>
      </c>
      <c r="T152" s="12" t="s">
        <v>229</v>
      </c>
      <c r="U152">
        <v>2</v>
      </c>
      <c r="V152">
        <v>0</v>
      </c>
      <c r="W152">
        <v>0</v>
      </c>
      <c r="X152" s="12" t="s">
        <v>280</v>
      </c>
      <c r="Y152">
        <v>18</v>
      </c>
      <c r="Z152">
        <v>13.2890625</v>
      </c>
      <c r="AA152" s="12" t="s">
        <v>55</v>
      </c>
      <c r="AB152" s="12" t="s">
        <v>288</v>
      </c>
      <c r="AC152" s="12"/>
    </row>
    <row r="153" spans="1:29" x14ac:dyDescent="0.25">
      <c r="A153">
        <v>595</v>
      </c>
      <c r="B153">
        <v>841</v>
      </c>
      <c r="C153">
        <v>0</v>
      </c>
      <c r="D153" s="12"/>
      <c r="E153" s="12"/>
      <c r="F153" s="12"/>
      <c r="I153" s="12"/>
      <c r="J153" s="12"/>
      <c r="K153" s="12"/>
      <c r="N153">
        <v>0.5</v>
      </c>
      <c r="O153">
        <v>0</v>
      </c>
      <c r="P153" s="12" t="s">
        <v>194</v>
      </c>
      <c r="Q153">
        <v>12</v>
      </c>
      <c r="R153" s="12" t="s">
        <v>226</v>
      </c>
      <c r="S153" s="12" t="s">
        <v>228</v>
      </c>
      <c r="T153" s="12" t="s">
        <v>229</v>
      </c>
      <c r="U153">
        <v>2</v>
      </c>
      <c r="V153">
        <v>0</v>
      </c>
      <c r="W153">
        <v>0</v>
      </c>
      <c r="X153" s="12"/>
      <c r="Y153">
        <v>3</v>
      </c>
      <c r="Z153">
        <v>13.2890625</v>
      </c>
      <c r="AA153" s="12" t="s">
        <v>55</v>
      </c>
      <c r="AB153" s="12" t="s">
        <v>288</v>
      </c>
      <c r="AC153" s="12"/>
    </row>
    <row r="154" spans="1:29" x14ac:dyDescent="0.25">
      <c r="A154">
        <v>595</v>
      </c>
      <c r="B154">
        <v>841</v>
      </c>
      <c r="C154">
        <v>0</v>
      </c>
      <c r="D154" s="12"/>
      <c r="E154" s="12"/>
      <c r="F154" s="12"/>
      <c r="I154" s="12"/>
      <c r="J154" s="12"/>
      <c r="K154" s="12"/>
      <c r="N154">
        <v>0.5</v>
      </c>
      <c r="O154">
        <v>0</v>
      </c>
      <c r="P154" s="12" t="s">
        <v>195</v>
      </c>
      <c r="Q154">
        <v>12</v>
      </c>
      <c r="R154" s="12" t="s">
        <v>226</v>
      </c>
      <c r="S154" s="12" t="s">
        <v>228</v>
      </c>
      <c r="T154" s="12" t="s">
        <v>229</v>
      </c>
      <c r="U154">
        <v>2</v>
      </c>
      <c r="V154">
        <v>0</v>
      </c>
      <c r="W154">
        <v>0</v>
      </c>
      <c r="X154" s="12" t="s">
        <v>238</v>
      </c>
      <c r="Y154">
        <v>24.005859999999998</v>
      </c>
      <c r="Z154">
        <v>13.2890625</v>
      </c>
      <c r="AA154" s="12" t="s">
        <v>55</v>
      </c>
      <c r="AB154" s="12" t="s">
        <v>288</v>
      </c>
      <c r="AC154" s="12"/>
    </row>
    <row r="155" spans="1:29" x14ac:dyDescent="0.25">
      <c r="A155">
        <v>595</v>
      </c>
      <c r="B155">
        <v>841</v>
      </c>
      <c r="C155">
        <v>0</v>
      </c>
      <c r="D155" s="12"/>
      <c r="E155" s="12"/>
      <c r="F155" s="12"/>
      <c r="I155" s="12"/>
      <c r="J155" s="12"/>
      <c r="K155" s="12"/>
      <c r="N155">
        <v>0.5</v>
      </c>
      <c r="O155">
        <v>0</v>
      </c>
      <c r="P155" s="12" t="s">
        <v>196</v>
      </c>
      <c r="Q155">
        <v>12</v>
      </c>
      <c r="R155" s="12" t="s">
        <v>226</v>
      </c>
      <c r="S155" s="12" t="s">
        <v>228</v>
      </c>
      <c r="T155" s="12" t="s">
        <v>229</v>
      </c>
      <c r="U155">
        <v>2</v>
      </c>
      <c r="V155">
        <v>0</v>
      </c>
      <c r="W155">
        <v>0</v>
      </c>
      <c r="X155" s="12"/>
      <c r="Y155">
        <v>3</v>
      </c>
      <c r="Z155">
        <v>13.2890625</v>
      </c>
      <c r="AA155" s="12" t="s">
        <v>55</v>
      </c>
      <c r="AB155" s="12" t="s">
        <v>288</v>
      </c>
      <c r="AC155" s="12"/>
    </row>
    <row r="156" spans="1:29" x14ac:dyDescent="0.25">
      <c r="A156">
        <v>595</v>
      </c>
      <c r="B156">
        <v>841</v>
      </c>
      <c r="C156">
        <v>0</v>
      </c>
      <c r="D156" s="12"/>
      <c r="E156" s="12"/>
      <c r="F156" s="12"/>
      <c r="I156" s="12"/>
      <c r="J156" s="12"/>
      <c r="K156" s="12"/>
      <c r="N156">
        <v>0.5</v>
      </c>
      <c r="O156">
        <v>0</v>
      </c>
      <c r="P156" s="12" t="s">
        <v>197</v>
      </c>
      <c r="Q156">
        <v>12</v>
      </c>
      <c r="R156" s="12" t="s">
        <v>226</v>
      </c>
      <c r="S156" s="12" t="s">
        <v>228</v>
      </c>
      <c r="T156" s="12" t="s">
        <v>229</v>
      </c>
      <c r="U156">
        <v>2</v>
      </c>
      <c r="V156">
        <v>0</v>
      </c>
      <c r="W156">
        <v>0</v>
      </c>
      <c r="X156" s="12" t="s">
        <v>278</v>
      </c>
      <c r="Y156">
        <v>65.003910000000005</v>
      </c>
      <c r="Z156">
        <v>13.2890625</v>
      </c>
      <c r="AA156" s="12" t="s">
        <v>55</v>
      </c>
      <c r="AB156" s="12" t="s">
        <v>288</v>
      </c>
      <c r="AC156" s="12"/>
    </row>
    <row r="157" spans="1:29" x14ac:dyDescent="0.25">
      <c r="A157">
        <v>595</v>
      </c>
      <c r="B157">
        <v>841</v>
      </c>
      <c r="C157">
        <v>0</v>
      </c>
      <c r="D157" s="12"/>
      <c r="E157" s="12"/>
      <c r="F157" s="12"/>
      <c r="I157" s="12"/>
      <c r="J157" s="12"/>
      <c r="K157" s="12"/>
      <c r="N157">
        <v>0.5</v>
      </c>
      <c r="O157">
        <v>0</v>
      </c>
      <c r="P157" s="12" t="s">
        <v>198</v>
      </c>
      <c r="Q157">
        <v>12</v>
      </c>
      <c r="R157" s="12" t="s">
        <v>226</v>
      </c>
      <c r="S157" s="12" t="s">
        <v>228</v>
      </c>
      <c r="T157" s="12" t="s">
        <v>229</v>
      </c>
      <c r="U157">
        <v>2</v>
      </c>
      <c r="V157">
        <v>0</v>
      </c>
      <c r="W157">
        <v>0</v>
      </c>
      <c r="X157" s="12"/>
      <c r="Y157">
        <v>3</v>
      </c>
      <c r="Z157">
        <v>13.2890625</v>
      </c>
      <c r="AA157" s="12" t="s">
        <v>55</v>
      </c>
      <c r="AB157" s="12" t="s">
        <v>288</v>
      </c>
      <c r="AC157" s="12"/>
    </row>
    <row r="158" spans="1:29" x14ac:dyDescent="0.25">
      <c r="A158">
        <v>595</v>
      </c>
      <c r="B158">
        <v>841</v>
      </c>
      <c r="C158">
        <v>0</v>
      </c>
      <c r="D158" s="12"/>
      <c r="E158" s="12"/>
      <c r="F158" s="12"/>
      <c r="I158" s="12"/>
      <c r="J158" s="12"/>
      <c r="K158" s="12"/>
      <c r="N158">
        <v>0.5</v>
      </c>
      <c r="O158">
        <v>0</v>
      </c>
      <c r="P158" s="12" t="s">
        <v>199</v>
      </c>
      <c r="Q158">
        <v>12</v>
      </c>
      <c r="R158" s="12" t="s">
        <v>226</v>
      </c>
      <c r="S158" s="12" t="s">
        <v>228</v>
      </c>
      <c r="T158" s="12" t="s">
        <v>229</v>
      </c>
      <c r="U158">
        <v>2</v>
      </c>
      <c r="V158">
        <v>0</v>
      </c>
      <c r="W158">
        <v>0</v>
      </c>
      <c r="X158" s="12" t="s">
        <v>279</v>
      </c>
      <c r="Y158">
        <v>62.337890000000002</v>
      </c>
      <c r="Z158">
        <v>13.2890625</v>
      </c>
      <c r="AA158" s="12" t="s">
        <v>55</v>
      </c>
      <c r="AB158" s="12" t="s">
        <v>288</v>
      </c>
      <c r="AC158" s="12"/>
    </row>
    <row r="159" spans="1:29" x14ac:dyDescent="0.25">
      <c r="A159">
        <v>595</v>
      </c>
      <c r="B159">
        <v>841</v>
      </c>
      <c r="C159">
        <v>0</v>
      </c>
      <c r="D159" s="12"/>
      <c r="E159" s="12"/>
      <c r="F159" s="12"/>
      <c r="I159" s="12"/>
      <c r="J159" s="12"/>
      <c r="K159" s="12"/>
      <c r="N159">
        <v>0.5</v>
      </c>
      <c r="O159">
        <v>0</v>
      </c>
      <c r="P159" s="12" t="s">
        <v>200</v>
      </c>
      <c r="Q159">
        <v>12</v>
      </c>
      <c r="R159" s="12" t="s">
        <v>226</v>
      </c>
      <c r="S159" s="12" t="s">
        <v>228</v>
      </c>
      <c r="T159" s="12" t="s">
        <v>229</v>
      </c>
      <c r="U159">
        <v>2</v>
      </c>
      <c r="V159">
        <v>0</v>
      </c>
      <c r="W159">
        <v>0</v>
      </c>
      <c r="X159" s="12"/>
      <c r="Y159">
        <v>3</v>
      </c>
      <c r="Z159">
        <v>13.2890625</v>
      </c>
      <c r="AA159" s="12" t="s">
        <v>55</v>
      </c>
      <c r="AB159" s="12" t="s">
        <v>288</v>
      </c>
      <c r="AC159" s="12"/>
    </row>
    <row r="160" spans="1:29" x14ac:dyDescent="0.25">
      <c r="A160">
        <v>595</v>
      </c>
      <c r="B160">
        <v>841</v>
      </c>
      <c r="C160">
        <v>0</v>
      </c>
      <c r="D160" s="12"/>
      <c r="E160" s="12"/>
      <c r="F160" s="12"/>
      <c r="I160" s="12"/>
      <c r="J160" s="12"/>
      <c r="K160" s="12"/>
      <c r="N160">
        <v>0.5</v>
      </c>
      <c r="O160">
        <v>0</v>
      </c>
      <c r="P160" s="12" t="s">
        <v>201</v>
      </c>
      <c r="Q160">
        <v>12</v>
      </c>
      <c r="R160" s="12" t="s">
        <v>226</v>
      </c>
      <c r="S160" s="12" t="s">
        <v>228</v>
      </c>
      <c r="T160" s="12" t="s">
        <v>229</v>
      </c>
      <c r="U160">
        <v>2</v>
      </c>
      <c r="V160">
        <v>0</v>
      </c>
      <c r="W160">
        <v>0</v>
      </c>
      <c r="X160" s="12" t="s">
        <v>271</v>
      </c>
      <c r="Y160">
        <v>32.654297</v>
      </c>
      <c r="Z160">
        <v>13.2890625</v>
      </c>
      <c r="AA160" s="12" t="s">
        <v>55</v>
      </c>
      <c r="AB160" s="12" t="s">
        <v>288</v>
      </c>
      <c r="AC160" s="12"/>
    </row>
    <row r="161" spans="1:29" x14ac:dyDescent="0.25">
      <c r="A161">
        <v>595</v>
      </c>
      <c r="B161">
        <v>841</v>
      </c>
      <c r="C161">
        <v>0</v>
      </c>
      <c r="D161" s="12"/>
      <c r="E161" s="12"/>
      <c r="F161" s="12"/>
      <c r="I161" s="12"/>
      <c r="J161" s="12"/>
      <c r="K161" s="12"/>
      <c r="N161">
        <v>0.5</v>
      </c>
      <c r="O161">
        <v>0</v>
      </c>
      <c r="P161" s="12" t="s">
        <v>202</v>
      </c>
      <c r="Q161">
        <v>12</v>
      </c>
      <c r="R161" s="12" t="s">
        <v>226</v>
      </c>
      <c r="S161" s="12" t="s">
        <v>228</v>
      </c>
      <c r="T161" s="12" t="s">
        <v>229</v>
      </c>
      <c r="U161">
        <v>2</v>
      </c>
      <c r="V161">
        <v>0</v>
      </c>
      <c r="W161">
        <v>0</v>
      </c>
      <c r="X161" s="12"/>
      <c r="Y161">
        <v>3</v>
      </c>
      <c r="Z161">
        <v>13.2890625</v>
      </c>
      <c r="AA161" s="12" t="s">
        <v>55</v>
      </c>
      <c r="AB161" s="12" t="s">
        <v>288</v>
      </c>
      <c r="AC161" s="12"/>
    </row>
    <row r="162" spans="1:29" x14ac:dyDescent="0.25">
      <c r="A162">
        <v>595</v>
      </c>
      <c r="B162">
        <v>841</v>
      </c>
      <c r="C162">
        <v>0</v>
      </c>
      <c r="D162" s="12"/>
      <c r="E162" s="12"/>
      <c r="F162" s="12"/>
      <c r="I162" s="12"/>
      <c r="J162" s="12"/>
      <c r="K162" s="12"/>
      <c r="N162">
        <v>0.5</v>
      </c>
      <c r="O162">
        <v>0</v>
      </c>
      <c r="P162" s="12" t="s">
        <v>203</v>
      </c>
      <c r="Q162">
        <v>12</v>
      </c>
      <c r="R162" s="12" t="s">
        <v>226</v>
      </c>
      <c r="S162" s="12" t="s">
        <v>228</v>
      </c>
      <c r="T162" s="12" t="s">
        <v>229</v>
      </c>
      <c r="U162">
        <v>2</v>
      </c>
      <c r="V162">
        <v>0</v>
      </c>
      <c r="W162">
        <v>0</v>
      </c>
      <c r="X162" s="12" t="s">
        <v>272</v>
      </c>
      <c r="Y162">
        <v>19.992187999999999</v>
      </c>
      <c r="Z162">
        <v>13.2890625</v>
      </c>
      <c r="AA162" s="12" t="s">
        <v>55</v>
      </c>
      <c r="AB162" s="12" t="s">
        <v>288</v>
      </c>
      <c r="AC162" s="12"/>
    </row>
    <row r="163" spans="1:29" x14ac:dyDescent="0.25">
      <c r="A163">
        <v>595</v>
      </c>
      <c r="B163">
        <v>841</v>
      </c>
      <c r="C163">
        <v>0</v>
      </c>
      <c r="D163" s="12"/>
      <c r="E163" s="12"/>
      <c r="F163" s="12"/>
      <c r="I163" s="12"/>
      <c r="J163" s="12"/>
      <c r="K163" s="12"/>
      <c r="N163">
        <v>0.5</v>
      </c>
      <c r="O163">
        <v>0</v>
      </c>
      <c r="P163" s="12" t="s">
        <v>204</v>
      </c>
      <c r="Q163">
        <v>12</v>
      </c>
      <c r="R163" s="12" t="s">
        <v>226</v>
      </c>
      <c r="S163" s="12" t="s">
        <v>228</v>
      </c>
      <c r="T163" s="12" t="s">
        <v>229</v>
      </c>
      <c r="U163">
        <v>2</v>
      </c>
      <c r="V163">
        <v>0</v>
      </c>
      <c r="W163">
        <v>0</v>
      </c>
      <c r="X163" s="12"/>
      <c r="Y163">
        <v>3</v>
      </c>
      <c r="Z163">
        <v>13.2890625</v>
      </c>
      <c r="AA163" s="12" t="s">
        <v>55</v>
      </c>
      <c r="AB163" s="12" t="s">
        <v>288</v>
      </c>
      <c r="AC163" s="12"/>
    </row>
    <row r="164" spans="1:29" x14ac:dyDescent="0.25">
      <c r="A164">
        <v>595</v>
      </c>
      <c r="B164">
        <v>841</v>
      </c>
      <c r="C164">
        <v>0</v>
      </c>
      <c r="D164" s="12"/>
      <c r="E164" s="12"/>
      <c r="F164" s="12"/>
      <c r="I164" s="12"/>
      <c r="J164" s="12"/>
      <c r="K164" s="12"/>
      <c r="N164">
        <v>0.5</v>
      </c>
      <c r="O164">
        <v>0</v>
      </c>
      <c r="P164" s="12" t="s">
        <v>205</v>
      </c>
      <c r="Q164">
        <v>12</v>
      </c>
      <c r="R164" s="12" t="s">
        <v>226</v>
      </c>
      <c r="S164" s="12" t="s">
        <v>228</v>
      </c>
      <c r="T164" s="12" t="s">
        <v>229</v>
      </c>
      <c r="U164">
        <v>2</v>
      </c>
      <c r="V164">
        <v>0</v>
      </c>
      <c r="W164">
        <v>0</v>
      </c>
      <c r="X164" s="12" t="s">
        <v>262</v>
      </c>
      <c r="Y164">
        <v>12</v>
      </c>
      <c r="Z164">
        <v>13.2890625</v>
      </c>
      <c r="AA164" s="12" t="s">
        <v>55</v>
      </c>
      <c r="AB164" s="12" t="s">
        <v>288</v>
      </c>
      <c r="AC164" s="12"/>
    </row>
    <row r="165" spans="1:29" x14ac:dyDescent="0.25">
      <c r="A165">
        <v>595</v>
      </c>
      <c r="B165">
        <v>841</v>
      </c>
      <c r="C165">
        <v>0</v>
      </c>
      <c r="D165" s="12"/>
      <c r="E165" s="12"/>
      <c r="F165" s="12"/>
      <c r="I165" s="12"/>
      <c r="J165" s="12"/>
      <c r="K165" s="12"/>
      <c r="N165">
        <v>0.5</v>
      </c>
      <c r="O165">
        <v>0</v>
      </c>
      <c r="P165" s="12" t="s">
        <v>206</v>
      </c>
      <c r="Q165">
        <v>12</v>
      </c>
      <c r="R165" s="12" t="s">
        <v>226</v>
      </c>
      <c r="S165" s="12" t="s">
        <v>228</v>
      </c>
      <c r="T165" s="12" t="s">
        <v>229</v>
      </c>
      <c r="U165">
        <v>2</v>
      </c>
      <c r="V165">
        <v>0</v>
      </c>
      <c r="W165">
        <v>0</v>
      </c>
      <c r="X165" s="12" t="s">
        <v>280</v>
      </c>
      <c r="Y165">
        <v>18</v>
      </c>
      <c r="Z165">
        <v>13.2890625</v>
      </c>
      <c r="AA165" s="12" t="s">
        <v>55</v>
      </c>
      <c r="AB165" s="12" t="s">
        <v>288</v>
      </c>
      <c r="AC165" s="12"/>
    </row>
    <row r="166" spans="1:29" x14ac:dyDescent="0.25">
      <c r="A166">
        <v>595</v>
      </c>
      <c r="B166">
        <v>841</v>
      </c>
      <c r="C166">
        <v>0</v>
      </c>
      <c r="D166" s="12"/>
      <c r="E166" s="12"/>
      <c r="F166" s="12"/>
      <c r="I166" s="12"/>
      <c r="J166" s="12"/>
      <c r="K166" s="12"/>
      <c r="N166">
        <v>0.5</v>
      </c>
      <c r="O166">
        <v>0</v>
      </c>
      <c r="P166" s="12" t="s">
        <v>207</v>
      </c>
      <c r="Q166">
        <v>12</v>
      </c>
      <c r="R166" s="12" t="s">
        <v>226</v>
      </c>
      <c r="S166" s="12" t="s">
        <v>228</v>
      </c>
      <c r="T166" s="12" t="s">
        <v>229</v>
      </c>
      <c r="U166">
        <v>2</v>
      </c>
      <c r="V166">
        <v>0</v>
      </c>
      <c r="W166">
        <v>0</v>
      </c>
      <c r="X166" s="12"/>
      <c r="Y166">
        <v>3</v>
      </c>
      <c r="Z166">
        <v>13.2890625</v>
      </c>
      <c r="AA166" s="12" t="s">
        <v>55</v>
      </c>
      <c r="AB166" s="12" t="s">
        <v>288</v>
      </c>
      <c r="AC166" s="12"/>
    </row>
    <row r="167" spans="1:29" x14ac:dyDescent="0.25">
      <c r="A167">
        <v>595</v>
      </c>
      <c r="B167">
        <v>841</v>
      </c>
      <c r="C167">
        <v>0</v>
      </c>
      <c r="D167" s="12"/>
      <c r="E167" s="12"/>
      <c r="F167" s="12"/>
      <c r="I167" s="12"/>
      <c r="J167" s="12"/>
      <c r="K167" s="12"/>
      <c r="N167">
        <v>0.5</v>
      </c>
      <c r="O167">
        <v>0</v>
      </c>
      <c r="P167" s="12" t="s">
        <v>208</v>
      </c>
      <c r="Q167">
        <v>12</v>
      </c>
      <c r="R167" s="12" t="s">
        <v>226</v>
      </c>
      <c r="S167" s="12" t="s">
        <v>228</v>
      </c>
      <c r="T167" s="12" t="s">
        <v>229</v>
      </c>
      <c r="U167">
        <v>2</v>
      </c>
      <c r="V167">
        <v>0</v>
      </c>
      <c r="W167">
        <v>0</v>
      </c>
      <c r="X167" s="12" t="s">
        <v>238</v>
      </c>
      <c r="Y167">
        <v>24.005859999999998</v>
      </c>
      <c r="Z167">
        <v>13.2890625</v>
      </c>
      <c r="AA167" s="12" t="s">
        <v>55</v>
      </c>
      <c r="AB167" s="12" t="s">
        <v>288</v>
      </c>
      <c r="AC167" s="12"/>
    </row>
    <row r="168" spans="1:29" x14ac:dyDescent="0.25">
      <c r="A168">
        <v>595</v>
      </c>
      <c r="B168">
        <v>841</v>
      </c>
      <c r="C168">
        <v>0</v>
      </c>
      <c r="D168" s="12"/>
      <c r="E168" s="12"/>
      <c r="F168" s="12"/>
      <c r="I168" s="12"/>
      <c r="J168" s="12"/>
      <c r="K168" s="12"/>
      <c r="N168">
        <v>0.5</v>
      </c>
      <c r="O168">
        <v>0</v>
      </c>
      <c r="P168" s="12" t="s">
        <v>209</v>
      </c>
      <c r="Q168">
        <v>12</v>
      </c>
      <c r="R168" s="12" t="s">
        <v>226</v>
      </c>
      <c r="S168" s="12" t="s">
        <v>228</v>
      </c>
      <c r="T168" s="12" t="s">
        <v>229</v>
      </c>
      <c r="U168">
        <v>2</v>
      </c>
      <c r="V168">
        <v>0</v>
      </c>
      <c r="W168">
        <v>0</v>
      </c>
      <c r="X168" s="12"/>
      <c r="Y168">
        <v>3</v>
      </c>
      <c r="Z168">
        <v>13.2890625</v>
      </c>
      <c r="AA168" s="12" t="s">
        <v>55</v>
      </c>
      <c r="AB168" s="12" t="s">
        <v>288</v>
      </c>
      <c r="AC168" s="12"/>
    </row>
    <row r="169" spans="1:29" x14ac:dyDescent="0.25">
      <c r="A169">
        <v>595</v>
      </c>
      <c r="B169">
        <v>841</v>
      </c>
      <c r="C169">
        <v>0</v>
      </c>
      <c r="D169" s="12"/>
      <c r="E169" s="12"/>
      <c r="F169" s="12"/>
      <c r="I169" s="12"/>
      <c r="J169" s="12"/>
      <c r="K169" s="12"/>
      <c r="N169">
        <v>0.5</v>
      </c>
      <c r="O169">
        <v>0</v>
      </c>
      <c r="P169" s="12" t="s">
        <v>210</v>
      </c>
      <c r="Q169">
        <v>12</v>
      </c>
      <c r="R169" s="12" t="s">
        <v>226</v>
      </c>
      <c r="S169" s="12" t="s">
        <v>228</v>
      </c>
      <c r="T169" s="12" t="s">
        <v>229</v>
      </c>
      <c r="U169">
        <v>2</v>
      </c>
      <c r="V169">
        <v>0</v>
      </c>
      <c r="W169">
        <v>0</v>
      </c>
      <c r="X169" s="12" t="s">
        <v>281</v>
      </c>
      <c r="Y169">
        <v>117.64453</v>
      </c>
      <c r="Z169">
        <v>13.2890625</v>
      </c>
      <c r="AA169" s="12" t="s">
        <v>55</v>
      </c>
      <c r="AB169" s="12" t="s">
        <v>288</v>
      </c>
      <c r="AC169" s="12"/>
    </row>
    <row r="170" spans="1:29" x14ac:dyDescent="0.25">
      <c r="A170">
        <v>595</v>
      </c>
      <c r="B170">
        <v>841</v>
      </c>
      <c r="C170">
        <v>0</v>
      </c>
      <c r="D170" s="12"/>
      <c r="E170" s="12"/>
      <c r="F170" s="12"/>
      <c r="I170" s="12"/>
      <c r="J170" s="12"/>
      <c r="K170" s="12"/>
      <c r="N170">
        <v>0.5</v>
      </c>
      <c r="O170">
        <v>0</v>
      </c>
      <c r="P170" s="12" t="s">
        <v>211</v>
      </c>
      <c r="Q170">
        <v>12</v>
      </c>
      <c r="R170" s="12" t="s">
        <v>226</v>
      </c>
      <c r="S170" s="12" t="s">
        <v>228</v>
      </c>
      <c r="T170" s="12" t="s">
        <v>229</v>
      </c>
      <c r="U170">
        <v>2</v>
      </c>
      <c r="V170">
        <v>0</v>
      </c>
      <c r="W170">
        <v>0</v>
      </c>
      <c r="X170" s="12" t="s">
        <v>282</v>
      </c>
      <c r="Y170">
        <v>6.9960937999999997</v>
      </c>
      <c r="Z170">
        <v>13.2890625</v>
      </c>
      <c r="AA170" s="12" t="s">
        <v>55</v>
      </c>
      <c r="AB170" s="12" t="s">
        <v>288</v>
      </c>
      <c r="AC170" s="12"/>
    </row>
    <row r="171" spans="1:29" x14ac:dyDescent="0.25">
      <c r="A171">
        <v>595</v>
      </c>
      <c r="B171">
        <v>841</v>
      </c>
      <c r="C171">
        <v>0</v>
      </c>
      <c r="D171" s="12"/>
      <c r="E171" s="12"/>
      <c r="F171" s="12"/>
      <c r="I171" s="12"/>
      <c r="J171" s="12"/>
      <c r="K171" s="12"/>
      <c r="N171">
        <v>0.5</v>
      </c>
      <c r="O171">
        <v>0</v>
      </c>
      <c r="P171" s="12" t="s">
        <v>212</v>
      </c>
      <c r="Q171">
        <v>12</v>
      </c>
      <c r="R171" s="12" t="s">
        <v>226</v>
      </c>
      <c r="S171" s="12" t="s">
        <v>228</v>
      </c>
      <c r="T171" s="12" t="s">
        <v>229</v>
      </c>
      <c r="U171">
        <v>2</v>
      </c>
      <c r="V171">
        <v>0</v>
      </c>
      <c r="W171">
        <v>0</v>
      </c>
      <c r="X171" s="12"/>
      <c r="Y171">
        <v>3</v>
      </c>
      <c r="Z171">
        <v>13.2890625</v>
      </c>
      <c r="AA171" s="12" t="s">
        <v>55</v>
      </c>
      <c r="AB171" s="12" t="s">
        <v>288</v>
      </c>
      <c r="AC171" s="12"/>
    </row>
    <row r="172" spans="1:29" x14ac:dyDescent="0.25">
      <c r="A172">
        <v>595</v>
      </c>
      <c r="B172">
        <v>841</v>
      </c>
      <c r="C172">
        <v>0</v>
      </c>
      <c r="D172" s="12"/>
      <c r="E172" s="12"/>
      <c r="F172" s="12"/>
      <c r="I172" s="12"/>
      <c r="J172" s="12"/>
      <c r="K172" s="12"/>
      <c r="N172">
        <v>0.5</v>
      </c>
      <c r="O172">
        <v>0</v>
      </c>
      <c r="P172" s="12" t="s">
        <v>213</v>
      </c>
      <c r="Q172">
        <v>12</v>
      </c>
      <c r="R172" s="12" t="s">
        <v>226</v>
      </c>
      <c r="S172" s="12" t="s">
        <v>228</v>
      </c>
      <c r="T172" s="12" t="s">
        <v>229</v>
      </c>
      <c r="U172">
        <v>2</v>
      </c>
      <c r="V172">
        <v>0</v>
      </c>
      <c r="W172">
        <v>0</v>
      </c>
      <c r="X172" s="12" t="s">
        <v>283</v>
      </c>
      <c r="Y172">
        <v>37.3125</v>
      </c>
      <c r="Z172">
        <v>13.2890625</v>
      </c>
      <c r="AA172" s="12" t="s">
        <v>55</v>
      </c>
      <c r="AB172" s="12" t="s">
        <v>288</v>
      </c>
      <c r="AC172" s="12"/>
    </row>
    <row r="173" spans="1:29" x14ac:dyDescent="0.25">
      <c r="A173">
        <v>595</v>
      </c>
      <c r="B173">
        <v>841</v>
      </c>
      <c r="C173">
        <v>0</v>
      </c>
      <c r="D173" s="12"/>
      <c r="E173" s="12"/>
      <c r="F173" s="12"/>
      <c r="I173" s="12"/>
      <c r="J173" s="12"/>
      <c r="K173" s="12"/>
      <c r="N173">
        <v>0.5</v>
      </c>
      <c r="O173">
        <v>0</v>
      </c>
      <c r="P173" s="12" t="s">
        <v>214</v>
      </c>
      <c r="Q173">
        <v>12</v>
      </c>
      <c r="R173" s="12" t="s">
        <v>226</v>
      </c>
      <c r="S173" s="12" t="s">
        <v>228</v>
      </c>
      <c r="T173" s="12" t="s">
        <v>229</v>
      </c>
      <c r="U173">
        <v>2</v>
      </c>
      <c r="V173">
        <v>0</v>
      </c>
      <c r="W173">
        <v>0</v>
      </c>
      <c r="X173" s="12" t="s">
        <v>284</v>
      </c>
      <c r="Y173">
        <v>83.648439999999994</v>
      </c>
      <c r="Z173">
        <v>13.2890625</v>
      </c>
      <c r="AA173" s="12" t="s">
        <v>55</v>
      </c>
      <c r="AB173" s="12" t="s">
        <v>288</v>
      </c>
      <c r="AC173" s="12"/>
    </row>
    <row r="174" spans="1:29" x14ac:dyDescent="0.25">
      <c r="A174">
        <v>595</v>
      </c>
      <c r="B174">
        <v>841</v>
      </c>
      <c r="C174">
        <v>0</v>
      </c>
      <c r="D174" s="12"/>
      <c r="E174" s="12"/>
      <c r="F174" s="12"/>
      <c r="I174" s="12"/>
      <c r="J174" s="12"/>
      <c r="K174" s="12"/>
      <c r="N174">
        <v>0.5</v>
      </c>
      <c r="O174">
        <v>0</v>
      </c>
      <c r="P174" s="12" t="s">
        <v>215</v>
      </c>
      <c r="Q174">
        <v>12</v>
      </c>
      <c r="R174" s="12" t="s">
        <v>226</v>
      </c>
      <c r="S174" s="12" t="s">
        <v>228</v>
      </c>
      <c r="T174" s="12" t="s">
        <v>229</v>
      </c>
      <c r="U174">
        <v>2</v>
      </c>
      <c r="V174">
        <v>0</v>
      </c>
      <c r="W174">
        <v>0</v>
      </c>
      <c r="X174" s="12"/>
      <c r="Y174">
        <v>3</v>
      </c>
      <c r="Z174">
        <v>13.2890625</v>
      </c>
      <c r="AA174" s="12" t="s">
        <v>55</v>
      </c>
      <c r="AB174" s="12" t="s">
        <v>288</v>
      </c>
      <c r="AC174" s="12"/>
    </row>
    <row r="175" spans="1:29" x14ac:dyDescent="0.25">
      <c r="A175">
        <v>595</v>
      </c>
      <c r="B175">
        <v>841</v>
      </c>
      <c r="C175">
        <v>0</v>
      </c>
      <c r="D175" s="12"/>
      <c r="E175" s="12"/>
      <c r="F175" s="12"/>
      <c r="I175" s="12"/>
      <c r="J175" s="12"/>
      <c r="K175" s="12"/>
      <c r="N175">
        <v>0.5</v>
      </c>
      <c r="O175">
        <v>0</v>
      </c>
      <c r="P175" s="12" t="s">
        <v>216</v>
      </c>
      <c r="Q175">
        <v>12</v>
      </c>
      <c r="R175" s="12" t="s">
        <v>226</v>
      </c>
      <c r="S175" s="12" t="s">
        <v>228</v>
      </c>
      <c r="T175" s="12" t="s">
        <v>229</v>
      </c>
      <c r="U175">
        <v>2</v>
      </c>
      <c r="V175">
        <v>0</v>
      </c>
      <c r="W175">
        <v>0</v>
      </c>
      <c r="X175" s="12" t="s">
        <v>250</v>
      </c>
      <c r="Y175">
        <v>6</v>
      </c>
      <c r="Z175">
        <v>13.2890625</v>
      </c>
      <c r="AA175" s="12" t="s">
        <v>55</v>
      </c>
      <c r="AB175" s="12" t="s">
        <v>288</v>
      </c>
      <c r="AC175" s="12"/>
    </row>
    <row r="176" spans="1:29" x14ac:dyDescent="0.25">
      <c r="A176">
        <v>595</v>
      </c>
      <c r="B176">
        <v>841</v>
      </c>
      <c r="C176">
        <v>0</v>
      </c>
      <c r="D176" s="12"/>
      <c r="E176" s="12"/>
      <c r="F176" s="12"/>
      <c r="I176" s="12"/>
      <c r="J176" s="12"/>
      <c r="K176" s="12"/>
      <c r="N176">
        <v>0.5</v>
      </c>
      <c r="O176">
        <v>0</v>
      </c>
      <c r="P176" s="12" t="s">
        <v>217</v>
      </c>
      <c r="Q176">
        <v>12</v>
      </c>
      <c r="R176" s="12" t="s">
        <v>226</v>
      </c>
      <c r="S176" s="12" t="s">
        <v>228</v>
      </c>
      <c r="T176" s="12" t="s">
        <v>229</v>
      </c>
      <c r="U176">
        <v>2</v>
      </c>
      <c r="V176">
        <v>0</v>
      </c>
      <c r="W176">
        <v>0</v>
      </c>
      <c r="X176" s="12"/>
      <c r="Y176">
        <v>3</v>
      </c>
      <c r="Z176">
        <v>13.2890625</v>
      </c>
      <c r="AA176" s="12" t="s">
        <v>55</v>
      </c>
      <c r="AB176" s="12" t="s">
        <v>288</v>
      </c>
      <c r="AC176" s="12"/>
    </row>
    <row r="177" spans="1:30" x14ac:dyDescent="0.25">
      <c r="A177">
        <v>595</v>
      </c>
      <c r="B177">
        <v>841</v>
      </c>
      <c r="C177">
        <v>0</v>
      </c>
      <c r="D177" s="12"/>
      <c r="E177" s="12"/>
      <c r="F177" s="12"/>
      <c r="I177" s="12"/>
      <c r="J177" s="12"/>
      <c r="K177" s="12"/>
      <c r="N177">
        <v>0.5</v>
      </c>
      <c r="O177">
        <v>0</v>
      </c>
      <c r="P177" s="12" t="s">
        <v>218</v>
      </c>
      <c r="Q177">
        <v>12</v>
      </c>
      <c r="R177" s="12" t="s">
        <v>226</v>
      </c>
      <c r="S177" s="12" t="s">
        <v>228</v>
      </c>
      <c r="T177" s="12" t="s">
        <v>229</v>
      </c>
      <c r="U177">
        <v>2</v>
      </c>
      <c r="V177">
        <v>0</v>
      </c>
      <c r="W177">
        <v>0</v>
      </c>
      <c r="X177" s="12" t="s">
        <v>285</v>
      </c>
      <c r="Y177">
        <v>27</v>
      </c>
      <c r="Z177">
        <v>13.2890625</v>
      </c>
      <c r="AA177" s="12" t="s">
        <v>55</v>
      </c>
      <c r="AB177" s="12" t="s">
        <v>288</v>
      </c>
      <c r="AC177" s="12"/>
    </row>
    <row r="178" spans="1:30" x14ac:dyDescent="0.25">
      <c r="A178">
        <v>595</v>
      </c>
      <c r="B178">
        <v>841</v>
      </c>
      <c r="C178">
        <v>0</v>
      </c>
      <c r="D178" s="12"/>
      <c r="E178" s="12"/>
      <c r="F178" s="12"/>
      <c r="I178" s="12"/>
      <c r="J178" s="12"/>
      <c r="K178" s="12"/>
      <c r="N178">
        <v>0.5</v>
      </c>
      <c r="O178">
        <v>0</v>
      </c>
      <c r="P178" s="12" t="s">
        <v>219</v>
      </c>
      <c r="Q178">
        <v>12</v>
      </c>
      <c r="R178" s="12" t="s">
        <v>226</v>
      </c>
      <c r="S178" s="12" t="s">
        <v>228</v>
      </c>
      <c r="T178" s="12" t="s">
        <v>229</v>
      </c>
      <c r="U178">
        <v>2</v>
      </c>
      <c r="V178">
        <v>0</v>
      </c>
      <c r="W178">
        <v>0</v>
      </c>
      <c r="X178" s="12"/>
      <c r="Y178">
        <v>3</v>
      </c>
      <c r="Z178">
        <v>13.2890625</v>
      </c>
      <c r="AA178" s="12" t="s">
        <v>55</v>
      </c>
      <c r="AB178" s="12" t="s">
        <v>288</v>
      </c>
      <c r="AC178" s="12"/>
    </row>
    <row r="179" spans="1:30" x14ac:dyDescent="0.25">
      <c r="A179">
        <v>595</v>
      </c>
      <c r="B179">
        <v>841</v>
      </c>
      <c r="C179">
        <v>0</v>
      </c>
      <c r="D179" s="12"/>
      <c r="E179" s="12"/>
      <c r="F179" s="12"/>
      <c r="I179" s="12"/>
      <c r="J179" s="12"/>
      <c r="K179" s="12"/>
      <c r="N179">
        <v>0.5</v>
      </c>
      <c r="O179">
        <v>0</v>
      </c>
      <c r="P179" s="12" t="s">
        <v>220</v>
      </c>
      <c r="Q179">
        <v>12</v>
      </c>
      <c r="R179" s="12" t="s">
        <v>226</v>
      </c>
      <c r="S179" s="12" t="s">
        <v>228</v>
      </c>
      <c r="T179" s="12" t="s">
        <v>229</v>
      </c>
      <c r="U179">
        <v>2</v>
      </c>
      <c r="V179">
        <v>0</v>
      </c>
      <c r="W179">
        <v>0</v>
      </c>
      <c r="X179" s="12" t="s">
        <v>286</v>
      </c>
      <c r="Y179">
        <v>130.98047</v>
      </c>
      <c r="Z179">
        <v>13.2890625</v>
      </c>
      <c r="AA179" s="12" t="s">
        <v>55</v>
      </c>
      <c r="AB179" s="12" t="s">
        <v>288</v>
      </c>
      <c r="AC179" s="12"/>
    </row>
    <row r="180" spans="1:30" x14ac:dyDescent="0.25">
      <c r="A180">
        <v>595</v>
      </c>
      <c r="B180">
        <v>841</v>
      </c>
      <c r="C180">
        <v>0</v>
      </c>
      <c r="D180" s="12"/>
      <c r="E180" s="12"/>
      <c r="F180" s="12"/>
      <c r="I180" s="12"/>
      <c r="J180" s="12"/>
      <c r="K180" s="12"/>
      <c r="N180">
        <v>0.5</v>
      </c>
      <c r="O180">
        <v>0</v>
      </c>
      <c r="P180" s="12" t="s">
        <v>221</v>
      </c>
      <c r="Q180">
        <v>12</v>
      </c>
      <c r="R180" s="12" t="s">
        <v>226</v>
      </c>
      <c r="S180" s="12" t="s">
        <v>228</v>
      </c>
      <c r="T180" s="12" t="s">
        <v>229</v>
      </c>
      <c r="U180">
        <v>2</v>
      </c>
      <c r="V180">
        <v>0</v>
      </c>
      <c r="W180">
        <v>0</v>
      </c>
      <c r="X180" s="12"/>
      <c r="Y180">
        <v>3</v>
      </c>
      <c r="Z180">
        <v>13.2890625</v>
      </c>
      <c r="AA180" s="12" t="s">
        <v>55</v>
      </c>
      <c r="AB180" s="12" t="s">
        <v>288</v>
      </c>
      <c r="AC180" s="12"/>
    </row>
    <row r="181" spans="1:30" x14ac:dyDescent="0.25">
      <c r="A181">
        <v>595</v>
      </c>
      <c r="B181">
        <v>841</v>
      </c>
      <c r="C181">
        <v>0</v>
      </c>
      <c r="D181" s="12"/>
      <c r="E181" s="12"/>
      <c r="F181" s="12"/>
      <c r="I181" s="12"/>
      <c r="J181" s="12"/>
      <c r="K181" s="12"/>
      <c r="N181">
        <v>0.5</v>
      </c>
      <c r="O181">
        <v>0</v>
      </c>
      <c r="P181" s="12" t="s">
        <v>222</v>
      </c>
      <c r="Q181">
        <v>12</v>
      </c>
      <c r="R181" s="12" t="s">
        <v>226</v>
      </c>
      <c r="S181" s="12" t="s">
        <v>228</v>
      </c>
      <c r="T181" s="12" t="s">
        <v>229</v>
      </c>
      <c r="U181">
        <v>2</v>
      </c>
      <c r="V181">
        <v>0</v>
      </c>
      <c r="W181">
        <v>0</v>
      </c>
      <c r="X181" s="12" t="s">
        <v>250</v>
      </c>
      <c r="Y181">
        <v>6</v>
      </c>
      <c r="Z181">
        <v>13.2890625</v>
      </c>
      <c r="AA181" s="12" t="s">
        <v>55</v>
      </c>
      <c r="AB181" s="12" t="s">
        <v>288</v>
      </c>
      <c r="AC181" s="12"/>
    </row>
    <row r="182" spans="1:30" x14ac:dyDescent="0.25">
      <c r="A182">
        <v>595</v>
      </c>
      <c r="B182">
        <v>841</v>
      </c>
      <c r="C182">
        <v>0</v>
      </c>
      <c r="D182" s="12"/>
      <c r="E182" s="12"/>
      <c r="F182" s="12"/>
      <c r="I182" s="12"/>
      <c r="J182" s="12"/>
      <c r="K182" s="12"/>
      <c r="N182">
        <v>0.5</v>
      </c>
      <c r="O182">
        <v>0</v>
      </c>
      <c r="P182" s="12" t="s">
        <v>223</v>
      </c>
      <c r="Q182">
        <v>12</v>
      </c>
      <c r="R182" s="12" t="s">
        <v>226</v>
      </c>
      <c r="S182" s="12" t="s">
        <v>228</v>
      </c>
      <c r="T182" s="12" t="s">
        <v>229</v>
      </c>
      <c r="U182">
        <v>2</v>
      </c>
      <c r="V182">
        <v>0</v>
      </c>
      <c r="W182">
        <v>0</v>
      </c>
      <c r="X182" s="12"/>
      <c r="Y182">
        <v>3</v>
      </c>
      <c r="Z182">
        <v>13.2890625</v>
      </c>
      <c r="AA182" s="12" t="s">
        <v>55</v>
      </c>
      <c r="AB182" s="12" t="s">
        <v>288</v>
      </c>
      <c r="AC182" s="12"/>
    </row>
    <row r="183" spans="1:30" x14ac:dyDescent="0.25">
      <c r="A183">
        <v>595</v>
      </c>
      <c r="B183">
        <v>841</v>
      </c>
      <c r="C183">
        <v>0</v>
      </c>
      <c r="D183" s="12"/>
      <c r="E183" s="12"/>
      <c r="F183" s="12"/>
      <c r="I183" s="12"/>
      <c r="J183" s="12"/>
      <c r="K183" s="12"/>
      <c r="N183">
        <v>0.5</v>
      </c>
      <c r="O183">
        <v>0</v>
      </c>
      <c r="P183" s="12" t="s">
        <v>224</v>
      </c>
      <c r="Q183">
        <v>12</v>
      </c>
      <c r="R183" s="12" t="s">
        <v>226</v>
      </c>
      <c r="S183" s="12" t="s">
        <v>228</v>
      </c>
      <c r="T183" s="12" t="s">
        <v>229</v>
      </c>
      <c r="U183">
        <v>2</v>
      </c>
      <c r="V183">
        <v>0</v>
      </c>
      <c r="W183">
        <v>0</v>
      </c>
      <c r="X183" s="12" t="s">
        <v>287</v>
      </c>
      <c r="Y183">
        <v>33</v>
      </c>
      <c r="Z183">
        <v>13.2890625</v>
      </c>
      <c r="AA183" s="12" t="s">
        <v>55</v>
      </c>
      <c r="AB183" s="12" t="s">
        <v>288</v>
      </c>
      <c r="AC183" s="12"/>
    </row>
    <row r="184" spans="1:30" x14ac:dyDescent="0.25">
      <c r="D184" s="12"/>
      <c r="E184" s="12"/>
      <c r="F184" s="12"/>
      <c r="I184" s="12"/>
      <c r="J184" s="12"/>
      <c r="K184" s="12"/>
      <c r="P184" s="12"/>
      <c r="R184" s="12"/>
      <c r="S184" s="12"/>
      <c r="T184" s="12"/>
      <c r="X184" s="12"/>
      <c r="AA184" s="12"/>
      <c r="AB184" s="12"/>
      <c r="AC184" s="12" t="s">
        <v>289</v>
      </c>
      <c r="AD184">
        <v>1</v>
      </c>
    </row>
    <row r="185" spans="1:30" x14ac:dyDescent="0.25">
      <c r="D185" s="12"/>
      <c r="E185" s="12"/>
      <c r="F185" s="12"/>
      <c r="I185" s="12"/>
      <c r="J185" s="12"/>
      <c r="K185" s="12"/>
      <c r="P185" s="12"/>
      <c r="R185" s="12"/>
      <c r="S185" s="12"/>
      <c r="T185" s="12"/>
      <c r="X185" s="12"/>
      <c r="AA185" s="12"/>
      <c r="AB185" s="12"/>
      <c r="AC185" s="12" t="s">
        <v>290</v>
      </c>
      <c r="AD185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8EBD-3BB3-4E7E-B868-F0D3351C9464}">
  <sheetPr codeName="Planilha5"/>
  <dimension ref="A1:H193"/>
  <sheetViews>
    <sheetView zoomScaleNormal="100" workbookViewId="0">
      <selection activeCell="F4" sqref="F4"/>
    </sheetView>
  </sheetViews>
  <sheetFormatPr defaultRowHeight="15" x14ac:dyDescent="0.25"/>
  <cols>
    <col min="3" max="3" width="18.28515625" customWidth="1"/>
  </cols>
  <sheetData>
    <row r="1" spans="1:5" x14ac:dyDescent="0.25">
      <c r="A1" t="s">
        <v>23</v>
      </c>
      <c r="B1" t="s">
        <v>24</v>
      </c>
      <c r="C1" t="s">
        <v>291</v>
      </c>
      <c r="E1">
        <v>22</v>
      </c>
    </row>
    <row r="2" spans="1:5" x14ac:dyDescent="0.25">
      <c r="C2">
        <f t="shared" ref="C2:C33" si="0">A2*2</f>
        <v>0</v>
      </c>
      <c r="D2">
        <f>C2*$E$1</f>
        <v>0</v>
      </c>
    </row>
    <row r="3" spans="1:5" x14ac:dyDescent="0.25">
      <c r="A3">
        <v>595</v>
      </c>
      <c r="B3">
        <v>841</v>
      </c>
      <c r="C3">
        <f t="shared" si="0"/>
        <v>1190</v>
      </c>
      <c r="D3">
        <f t="shared" ref="D3:D66" si="1">C3*$E$1</f>
        <v>26180</v>
      </c>
    </row>
    <row r="4" spans="1:5" x14ac:dyDescent="0.25">
      <c r="A4">
        <v>595</v>
      </c>
      <c r="B4">
        <v>841</v>
      </c>
      <c r="C4">
        <f t="shared" si="0"/>
        <v>1190</v>
      </c>
      <c r="D4">
        <f t="shared" si="1"/>
        <v>26180</v>
      </c>
    </row>
    <row r="5" spans="1:5" x14ac:dyDescent="0.25">
      <c r="A5">
        <v>595</v>
      </c>
      <c r="B5">
        <v>841</v>
      </c>
      <c r="C5">
        <f t="shared" si="0"/>
        <v>1190</v>
      </c>
      <c r="D5">
        <f t="shared" si="1"/>
        <v>26180</v>
      </c>
    </row>
    <row r="6" spans="1:5" x14ac:dyDescent="0.25">
      <c r="A6">
        <v>595</v>
      </c>
      <c r="B6">
        <v>841</v>
      </c>
      <c r="C6">
        <f t="shared" si="0"/>
        <v>1190</v>
      </c>
      <c r="D6">
        <f t="shared" si="1"/>
        <v>26180</v>
      </c>
    </row>
    <row r="7" spans="1:5" x14ac:dyDescent="0.25">
      <c r="A7">
        <v>595</v>
      </c>
      <c r="B7">
        <v>841</v>
      </c>
      <c r="C7">
        <f t="shared" si="0"/>
        <v>1190</v>
      </c>
      <c r="D7">
        <f t="shared" si="1"/>
        <v>26180</v>
      </c>
    </row>
    <row r="8" spans="1:5" x14ac:dyDescent="0.25">
      <c r="A8">
        <v>595</v>
      </c>
      <c r="B8">
        <v>841</v>
      </c>
      <c r="C8">
        <f t="shared" si="0"/>
        <v>1190</v>
      </c>
      <c r="D8">
        <f t="shared" si="1"/>
        <v>26180</v>
      </c>
    </row>
    <row r="9" spans="1:5" x14ac:dyDescent="0.25">
      <c r="A9">
        <v>595</v>
      </c>
      <c r="B9">
        <v>841</v>
      </c>
      <c r="C9">
        <f t="shared" si="0"/>
        <v>1190</v>
      </c>
      <c r="D9">
        <f t="shared" si="1"/>
        <v>26180</v>
      </c>
    </row>
    <row r="10" spans="1:5" x14ac:dyDescent="0.25">
      <c r="A10">
        <v>595</v>
      </c>
      <c r="B10">
        <v>841</v>
      </c>
      <c r="C10">
        <f t="shared" si="0"/>
        <v>1190</v>
      </c>
      <c r="D10">
        <f t="shared" si="1"/>
        <v>26180</v>
      </c>
    </row>
    <row r="11" spans="1:5" x14ac:dyDescent="0.25">
      <c r="A11">
        <v>595</v>
      </c>
      <c r="B11">
        <v>841</v>
      </c>
      <c r="C11">
        <f t="shared" si="0"/>
        <v>1190</v>
      </c>
      <c r="D11">
        <f t="shared" si="1"/>
        <v>26180</v>
      </c>
    </row>
    <row r="12" spans="1:5" x14ac:dyDescent="0.25">
      <c r="A12">
        <v>595</v>
      </c>
      <c r="B12">
        <v>841</v>
      </c>
      <c r="C12">
        <f t="shared" si="0"/>
        <v>1190</v>
      </c>
      <c r="D12">
        <f t="shared" si="1"/>
        <v>26180</v>
      </c>
    </row>
    <row r="13" spans="1:5" x14ac:dyDescent="0.25">
      <c r="A13">
        <v>595</v>
      </c>
      <c r="B13">
        <v>841</v>
      </c>
      <c r="C13">
        <f t="shared" si="0"/>
        <v>1190</v>
      </c>
      <c r="D13">
        <f t="shared" si="1"/>
        <v>26180</v>
      </c>
    </row>
    <row r="14" spans="1:5" x14ac:dyDescent="0.25">
      <c r="A14">
        <v>595</v>
      </c>
      <c r="B14">
        <v>841</v>
      </c>
      <c r="C14">
        <f t="shared" si="0"/>
        <v>1190</v>
      </c>
      <c r="D14">
        <f t="shared" si="1"/>
        <v>26180</v>
      </c>
    </row>
    <row r="15" spans="1:5" x14ac:dyDescent="0.25">
      <c r="A15">
        <v>595</v>
      </c>
      <c r="B15">
        <v>841</v>
      </c>
      <c r="C15">
        <f t="shared" si="0"/>
        <v>1190</v>
      </c>
      <c r="D15">
        <f t="shared" si="1"/>
        <v>26180</v>
      </c>
    </row>
    <row r="16" spans="1:5" x14ac:dyDescent="0.25">
      <c r="A16">
        <v>595</v>
      </c>
      <c r="B16">
        <v>841</v>
      </c>
      <c r="C16">
        <f t="shared" si="0"/>
        <v>1190</v>
      </c>
      <c r="D16">
        <f t="shared" si="1"/>
        <v>26180</v>
      </c>
    </row>
    <row r="17" spans="1:4" x14ac:dyDescent="0.25">
      <c r="A17">
        <v>595</v>
      </c>
      <c r="B17">
        <v>841</v>
      </c>
      <c r="C17">
        <f t="shared" si="0"/>
        <v>1190</v>
      </c>
      <c r="D17">
        <f t="shared" si="1"/>
        <v>26180</v>
      </c>
    </row>
    <row r="18" spans="1:4" x14ac:dyDescent="0.25">
      <c r="A18">
        <v>595</v>
      </c>
      <c r="B18">
        <v>841</v>
      </c>
      <c r="C18">
        <f t="shared" si="0"/>
        <v>1190</v>
      </c>
      <c r="D18">
        <f t="shared" si="1"/>
        <v>26180</v>
      </c>
    </row>
    <row r="19" spans="1:4" x14ac:dyDescent="0.25">
      <c r="A19">
        <v>595</v>
      </c>
      <c r="B19">
        <v>841</v>
      </c>
      <c r="C19">
        <f t="shared" si="0"/>
        <v>1190</v>
      </c>
      <c r="D19">
        <f t="shared" si="1"/>
        <v>26180</v>
      </c>
    </row>
    <row r="20" spans="1:4" x14ac:dyDescent="0.25">
      <c r="A20">
        <v>595</v>
      </c>
      <c r="B20">
        <v>841</v>
      </c>
      <c r="C20">
        <f t="shared" si="0"/>
        <v>1190</v>
      </c>
      <c r="D20">
        <f t="shared" si="1"/>
        <v>26180</v>
      </c>
    </row>
    <row r="21" spans="1:4" x14ac:dyDescent="0.25">
      <c r="A21">
        <v>595</v>
      </c>
      <c r="B21">
        <v>841</v>
      </c>
      <c r="C21">
        <f t="shared" si="0"/>
        <v>1190</v>
      </c>
      <c r="D21">
        <f t="shared" si="1"/>
        <v>26180</v>
      </c>
    </row>
    <row r="22" spans="1:4" x14ac:dyDescent="0.25">
      <c r="A22">
        <v>595</v>
      </c>
      <c r="B22">
        <v>841</v>
      </c>
      <c r="C22">
        <f t="shared" si="0"/>
        <v>1190</v>
      </c>
      <c r="D22">
        <f t="shared" si="1"/>
        <v>26180</v>
      </c>
    </row>
    <row r="23" spans="1:4" x14ac:dyDescent="0.25">
      <c r="A23">
        <v>595</v>
      </c>
      <c r="B23">
        <v>841</v>
      </c>
      <c r="C23">
        <f t="shared" si="0"/>
        <v>1190</v>
      </c>
      <c r="D23">
        <f t="shared" si="1"/>
        <v>26180</v>
      </c>
    </row>
    <row r="24" spans="1:4" x14ac:dyDescent="0.25">
      <c r="A24">
        <v>595</v>
      </c>
      <c r="B24">
        <v>841</v>
      </c>
      <c r="C24">
        <f t="shared" si="0"/>
        <v>1190</v>
      </c>
      <c r="D24">
        <f t="shared" si="1"/>
        <v>26180</v>
      </c>
    </row>
    <row r="25" spans="1:4" x14ac:dyDescent="0.25">
      <c r="A25">
        <v>595</v>
      </c>
      <c r="B25">
        <v>841</v>
      </c>
      <c r="C25">
        <f t="shared" si="0"/>
        <v>1190</v>
      </c>
      <c r="D25">
        <f t="shared" si="1"/>
        <v>26180</v>
      </c>
    </row>
    <row r="26" spans="1:4" x14ac:dyDescent="0.25">
      <c r="A26">
        <v>595</v>
      </c>
      <c r="B26">
        <v>841</v>
      </c>
      <c r="C26">
        <f t="shared" si="0"/>
        <v>1190</v>
      </c>
      <c r="D26">
        <f t="shared" si="1"/>
        <v>26180</v>
      </c>
    </row>
    <row r="27" spans="1:4" x14ac:dyDescent="0.25">
      <c r="A27">
        <v>595</v>
      </c>
      <c r="B27">
        <v>841</v>
      </c>
      <c r="C27">
        <f t="shared" si="0"/>
        <v>1190</v>
      </c>
      <c r="D27">
        <f t="shared" si="1"/>
        <v>26180</v>
      </c>
    </row>
    <row r="28" spans="1:4" x14ac:dyDescent="0.25">
      <c r="A28">
        <v>595</v>
      </c>
      <c r="B28">
        <v>841</v>
      </c>
      <c r="C28">
        <f t="shared" si="0"/>
        <v>1190</v>
      </c>
      <c r="D28">
        <f t="shared" si="1"/>
        <v>26180</v>
      </c>
    </row>
    <row r="29" spans="1:4" x14ac:dyDescent="0.25">
      <c r="A29">
        <v>595</v>
      </c>
      <c r="B29">
        <v>841</v>
      </c>
      <c r="C29">
        <f t="shared" si="0"/>
        <v>1190</v>
      </c>
      <c r="D29">
        <f t="shared" si="1"/>
        <v>26180</v>
      </c>
    </row>
    <row r="30" spans="1:4" x14ac:dyDescent="0.25">
      <c r="A30">
        <v>595</v>
      </c>
      <c r="B30">
        <v>841</v>
      </c>
      <c r="C30">
        <f t="shared" si="0"/>
        <v>1190</v>
      </c>
      <c r="D30">
        <f t="shared" si="1"/>
        <v>26180</v>
      </c>
    </row>
    <row r="31" spans="1:4" x14ac:dyDescent="0.25">
      <c r="A31">
        <v>595</v>
      </c>
      <c r="B31">
        <v>841</v>
      </c>
      <c r="C31">
        <f t="shared" si="0"/>
        <v>1190</v>
      </c>
      <c r="D31">
        <f t="shared" si="1"/>
        <v>26180</v>
      </c>
    </row>
    <row r="32" spans="1:4" x14ac:dyDescent="0.25">
      <c r="A32">
        <v>595</v>
      </c>
      <c r="B32">
        <v>841</v>
      </c>
      <c r="C32">
        <f t="shared" si="0"/>
        <v>1190</v>
      </c>
      <c r="D32">
        <f t="shared" si="1"/>
        <v>26180</v>
      </c>
    </row>
    <row r="33" spans="1:4" x14ac:dyDescent="0.25">
      <c r="A33">
        <v>595</v>
      </c>
      <c r="B33">
        <v>841</v>
      </c>
      <c r="C33">
        <f t="shared" si="0"/>
        <v>1190</v>
      </c>
      <c r="D33">
        <f t="shared" si="1"/>
        <v>26180</v>
      </c>
    </row>
    <row r="34" spans="1:4" x14ac:dyDescent="0.25">
      <c r="A34">
        <v>595</v>
      </c>
      <c r="B34">
        <v>841</v>
      </c>
      <c r="C34">
        <f t="shared" ref="C34:C65" si="2">A34*2</f>
        <v>1190</v>
      </c>
      <c r="D34">
        <f t="shared" si="1"/>
        <v>26180</v>
      </c>
    </row>
    <row r="35" spans="1:4" x14ac:dyDescent="0.25">
      <c r="A35">
        <v>595</v>
      </c>
      <c r="B35">
        <v>841</v>
      </c>
      <c r="C35">
        <f t="shared" si="2"/>
        <v>1190</v>
      </c>
      <c r="D35">
        <f t="shared" si="1"/>
        <v>26180</v>
      </c>
    </row>
    <row r="36" spans="1:4" x14ac:dyDescent="0.25">
      <c r="A36">
        <v>595</v>
      </c>
      <c r="B36">
        <v>841</v>
      </c>
      <c r="C36">
        <f t="shared" si="2"/>
        <v>1190</v>
      </c>
      <c r="D36">
        <f t="shared" si="1"/>
        <v>26180</v>
      </c>
    </row>
    <row r="37" spans="1:4" x14ac:dyDescent="0.25">
      <c r="A37">
        <v>595</v>
      </c>
      <c r="B37">
        <v>841</v>
      </c>
      <c r="C37">
        <f t="shared" si="2"/>
        <v>1190</v>
      </c>
      <c r="D37">
        <f t="shared" si="1"/>
        <v>26180</v>
      </c>
    </row>
    <row r="38" spans="1:4" x14ac:dyDescent="0.25">
      <c r="A38">
        <v>595</v>
      </c>
      <c r="B38">
        <v>841</v>
      </c>
      <c r="C38">
        <f t="shared" si="2"/>
        <v>1190</v>
      </c>
      <c r="D38">
        <f t="shared" si="1"/>
        <v>26180</v>
      </c>
    </row>
    <row r="39" spans="1:4" x14ac:dyDescent="0.25">
      <c r="A39">
        <v>595</v>
      </c>
      <c r="B39">
        <v>841</v>
      </c>
      <c r="C39">
        <f t="shared" si="2"/>
        <v>1190</v>
      </c>
      <c r="D39">
        <f t="shared" si="1"/>
        <v>26180</v>
      </c>
    </row>
    <row r="40" spans="1:4" x14ac:dyDescent="0.25">
      <c r="A40">
        <v>595</v>
      </c>
      <c r="B40">
        <v>841</v>
      </c>
      <c r="C40">
        <f t="shared" si="2"/>
        <v>1190</v>
      </c>
      <c r="D40">
        <f t="shared" si="1"/>
        <v>26180</v>
      </c>
    </row>
    <row r="41" spans="1:4" x14ac:dyDescent="0.25">
      <c r="A41">
        <v>595</v>
      </c>
      <c r="B41">
        <v>841</v>
      </c>
      <c r="C41">
        <f t="shared" si="2"/>
        <v>1190</v>
      </c>
      <c r="D41">
        <f t="shared" si="1"/>
        <v>26180</v>
      </c>
    </row>
    <row r="42" spans="1:4" x14ac:dyDescent="0.25">
      <c r="A42">
        <v>595</v>
      </c>
      <c r="B42">
        <v>841</v>
      </c>
      <c r="C42">
        <f t="shared" si="2"/>
        <v>1190</v>
      </c>
      <c r="D42">
        <f t="shared" si="1"/>
        <v>26180</v>
      </c>
    </row>
    <row r="43" spans="1:4" x14ac:dyDescent="0.25">
      <c r="A43">
        <v>595</v>
      </c>
      <c r="B43">
        <v>841</v>
      </c>
      <c r="C43">
        <f t="shared" si="2"/>
        <v>1190</v>
      </c>
      <c r="D43">
        <f t="shared" si="1"/>
        <v>26180</v>
      </c>
    </row>
    <row r="44" spans="1:4" x14ac:dyDescent="0.25">
      <c r="A44">
        <v>595</v>
      </c>
      <c r="B44">
        <v>841</v>
      </c>
      <c r="C44">
        <f t="shared" si="2"/>
        <v>1190</v>
      </c>
      <c r="D44">
        <f t="shared" si="1"/>
        <v>26180</v>
      </c>
    </row>
    <row r="45" spans="1:4" x14ac:dyDescent="0.25">
      <c r="A45">
        <v>595</v>
      </c>
      <c r="B45">
        <v>841</v>
      </c>
      <c r="C45">
        <f t="shared" si="2"/>
        <v>1190</v>
      </c>
      <c r="D45">
        <f t="shared" si="1"/>
        <v>26180</v>
      </c>
    </row>
    <row r="46" spans="1:4" x14ac:dyDescent="0.25">
      <c r="A46">
        <v>595</v>
      </c>
      <c r="B46">
        <v>841</v>
      </c>
      <c r="C46">
        <f t="shared" si="2"/>
        <v>1190</v>
      </c>
      <c r="D46">
        <f t="shared" si="1"/>
        <v>26180</v>
      </c>
    </row>
    <row r="47" spans="1:4" x14ac:dyDescent="0.25">
      <c r="A47">
        <v>595</v>
      </c>
      <c r="B47">
        <v>841</v>
      </c>
      <c r="C47">
        <f t="shared" si="2"/>
        <v>1190</v>
      </c>
      <c r="D47">
        <f t="shared" si="1"/>
        <v>26180</v>
      </c>
    </row>
    <row r="48" spans="1:4" x14ac:dyDescent="0.25">
      <c r="A48">
        <v>595</v>
      </c>
      <c r="B48">
        <v>841</v>
      </c>
      <c r="C48">
        <f t="shared" si="2"/>
        <v>1190</v>
      </c>
      <c r="D48">
        <f t="shared" si="1"/>
        <v>26180</v>
      </c>
    </row>
    <row r="49" spans="1:4" x14ac:dyDescent="0.25">
      <c r="A49">
        <v>595</v>
      </c>
      <c r="B49">
        <v>841</v>
      </c>
      <c r="C49">
        <f t="shared" si="2"/>
        <v>1190</v>
      </c>
      <c r="D49">
        <f t="shared" si="1"/>
        <v>26180</v>
      </c>
    </row>
    <row r="50" spans="1:4" x14ac:dyDescent="0.25">
      <c r="A50">
        <v>595</v>
      </c>
      <c r="B50">
        <v>841</v>
      </c>
      <c r="C50">
        <f t="shared" si="2"/>
        <v>1190</v>
      </c>
      <c r="D50">
        <f t="shared" si="1"/>
        <v>26180</v>
      </c>
    </row>
    <row r="51" spans="1:4" x14ac:dyDescent="0.25">
      <c r="A51">
        <v>595</v>
      </c>
      <c r="B51">
        <v>841</v>
      </c>
      <c r="C51">
        <f t="shared" si="2"/>
        <v>1190</v>
      </c>
      <c r="D51">
        <f t="shared" si="1"/>
        <v>26180</v>
      </c>
    </row>
    <row r="52" spans="1:4" x14ac:dyDescent="0.25">
      <c r="A52">
        <v>595</v>
      </c>
      <c r="B52">
        <v>841</v>
      </c>
      <c r="C52">
        <f t="shared" si="2"/>
        <v>1190</v>
      </c>
      <c r="D52">
        <f t="shared" si="1"/>
        <v>26180</v>
      </c>
    </row>
    <row r="53" spans="1:4" x14ac:dyDescent="0.25">
      <c r="A53">
        <v>595</v>
      </c>
      <c r="B53">
        <v>841</v>
      </c>
      <c r="C53">
        <f t="shared" si="2"/>
        <v>1190</v>
      </c>
      <c r="D53">
        <f t="shared" si="1"/>
        <v>26180</v>
      </c>
    </row>
    <row r="54" spans="1:4" x14ac:dyDescent="0.25">
      <c r="A54">
        <v>595</v>
      </c>
      <c r="B54">
        <v>841</v>
      </c>
      <c r="C54">
        <f t="shared" si="2"/>
        <v>1190</v>
      </c>
      <c r="D54">
        <f t="shared" si="1"/>
        <v>26180</v>
      </c>
    </row>
    <row r="55" spans="1:4" x14ac:dyDescent="0.25">
      <c r="A55">
        <v>595</v>
      </c>
      <c r="B55">
        <v>841</v>
      </c>
      <c r="C55">
        <f t="shared" si="2"/>
        <v>1190</v>
      </c>
      <c r="D55">
        <f t="shared" si="1"/>
        <v>26180</v>
      </c>
    </row>
    <row r="56" spans="1:4" x14ac:dyDescent="0.25">
      <c r="A56">
        <v>595</v>
      </c>
      <c r="B56">
        <v>841</v>
      </c>
      <c r="C56">
        <f t="shared" si="2"/>
        <v>1190</v>
      </c>
      <c r="D56">
        <f t="shared" si="1"/>
        <v>26180</v>
      </c>
    </row>
    <row r="57" spans="1:4" x14ac:dyDescent="0.25">
      <c r="A57">
        <v>595</v>
      </c>
      <c r="B57">
        <v>841</v>
      </c>
      <c r="C57">
        <f t="shared" si="2"/>
        <v>1190</v>
      </c>
      <c r="D57">
        <f t="shared" si="1"/>
        <v>26180</v>
      </c>
    </row>
    <row r="58" spans="1:4" x14ac:dyDescent="0.25">
      <c r="A58">
        <v>595</v>
      </c>
      <c r="B58">
        <v>841</v>
      </c>
      <c r="C58">
        <f t="shared" si="2"/>
        <v>1190</v>
      </c>
      <c r="D58">
        <f t="shared" si="1"/>
        <v>26180</v>
      </c>
    </row>
    <row r="59" spans="1:4" x14ac:dyDescent="0.25">
      <c r="A59">
        <v>595</v>
      </c>
      <c r="B59">
        <v>841</v>
      </c>
      <c r="C59">
        <f t="shared" si="2"/>
        <v>1190</v>
      </c>
      <c r="D59">
        <f t="shared" si="1"/>
        <v>26180</v>
      </c>
    </row>
    <row r="60" spans="1:4" x14ac:dyDescent="0.25">
      <c r="A60">
        <v>595</v>
      </c>
      <c r="B60">
        <v>841</v>
      </c>
      <c r="C60">
        <f t="shared" si="2"/>
        <v>1190</v>
      </c>
      <c r="D60">
        <f t="shared" si="1"/>
        <v>26180</v>
      </c>
    </row>
    <row r="61" spans="1:4" x14ac:dyDescent="0.25">
      <c r="A61">
        <v>595</v>
      </c>
      <c r="B61">
        <v>841</v>
      </c>
      <c r="C61">
        <f t="shared" si="2"/>
        <v>1190</v>
      </c>
      <c r="D61">
        <f t="shared" si="1"/>
        <v>26180</v>
      </c>
    </row>
    <row r="62" spans="1:4" x14ac:dyDescent="0.25">
      <c r="A62">
        <v>595</v>
      </c>
      <c r="B62">
        <v>841</v>
      </c>
      <c r="C62">
        <f t="shared" si="2"/>
        <v>1190</v>
      </c>
      <c r="D62">
        <f t="shared" si="1"/>
        <v>26180</v>
      </c>
    </row>
    <row r="63" spans="1:4" x14ac:dyDescent="0.25">
      <c r="A63">
        <v>595</v>
      </c>
      <c r="B63">
        <v>841</v>
      </c>
      <c r="C63">
        <f t="shared" si="2"/>
        <v>1190</v>
      </c>
      <c r="D63">
        <f t="shared" si="1"/>
        <v>26180</v>
      </c>
    </row>
    <row r="64" spans="1:4" x14ac:dyDescent="0.25">
      <c r="A64">
        <v>595</v>
      </c>
      <c r="B64">
        <v>841</v>
      </c>
      <c r="C64">
        <f t="shared" si="2"/>
        <v>1190</v>
      </c>
      <c r="D64">
        <f t="shared" si="1"/>
        <v>26180</v>
      </c>
    </row>
    <row r="65" spans="1:4" x14ac:dyDescent="0.25">
      <c r="A65">
        <v>595</v>
      </c>
      <c r="B65">
        <v>841</v>
      </c>
      <c r="C65">
        <f t="shared" si="2"/>
        <v>1190</v>
      </c>
      <c r="D65">
        <f t="shared" si="1"/>
        <v>26180</v>
      </c>
    </row>
    <row r="66" spans="1:4" x14ac:dyDescent="0.25">
      <c r="A66">
        <v>595</v>
      </c>
      <c r="B66">
        <v>841</v>
      </c>
      <c r="C66">
        <f t="shared" ref="C66:C97" si="3">A66*2</f>
        <v>1190</v>
      </c>
      <c r="D66">
        <f t="shared" si="1"/>
        <v>26180</v>
      </c>
    </row>
    <row r="67" spans="1:4" x14ac:dyDescent="0.25">
      <c r="A67">
        <v>595</v>
      </c>
      <c r="B67">
        <v>841</v>
      </c>
      <c r="C67">
        <f t="shared" si="3"/>
        <v>1190</v>
      </c>
      <c r="D67">
        <f t="shared" ref="D67:D130" si="4">C67*$E$1</f>
        <v>26180</v>
      </c>
    </row>
    <row r="68" spans="1:4" x14ac:dyDescent="0.25">
      <c r="A68">
        <v>595</v>
      </c>
      <c r="B68">
        <v>841</v>
      </c>
      <c r="C68">
        <f t="shared" si="3"/>
        <v>1190</v>
      </c>
      <c r="D68">
        <f t="shared" si="4"/>
        <v>26180</v>
      </c>
    </row>
    <row r="69" spans="1:4" x14ac:dyDescent="0.25">
      <c r="A69">
        <v>595</v>
      </c>
      <c r="B69">
        <v>841</v>
      </c>
      <c r="C69">
        <f t="shared" si="3"/>
        <v>1190</v>
      </c>
      <c r="D69">
        <f t="shared" si="4"/>
        <v>26180</v>
      </c>
    </row>
    <row r="70" spans="1:4" x14ac:dyDescent="0.25">
      <c r="A70">
        <v>595</v>
      </c>
      <c r="B70">
        <v>841</v>
      </c>
      <c r="C70">
        <f t="shared" si="3"/>
        <v>1190</v>
      </c>
      <c r="D70">
        <f t="shared" si="4"/>
        <v>26180</v>
      </c>
    </row>
    <row r="71" spans="1:4" x14ac:dyDescent="0.25">
      <c r="A71">
        <v>595</v>
      </c>
      <c r="B71">
        <v>841</v>
      </c>
      <c r="C71">
        <f t="shared" si="3"/>
        <v>1190</v>
      </c>
      <c r="D71">
        <f t="shared" si="4"/>
        <v>26180</v>
      </c>
    </row>
    <row r="72" spans="1:4" x14ac:dyDescent="0.25">
      <c r="A72">
        <v>595</v>
      </c>
      <c r="B72">
        <v>841</v>
      </c>
      <c r="C72">
        <f t="shared" si="3"/>
        <v>1190</v>
      </c>
      <c r="D72">
        <f t="shared" si="4"/>
        <v>26180</v>
      </c>
    </row>
    <row r="73" spans="1:4" x14ac:dyDescent="0.25">
      <c r="A73">
        <v>595</v>
      </c>
      <c r="B73">
        <v>841</v>
      </c>
      <c r="C73">
        <f t="shared" si="3"/>
        <v>1190</v>
      </c>
      <c r="D73">
        <f t="shared" si="4"/>
        <v>26180</v>
      </c>
    </row>
    <row r="74" spans="1:4" x14ac:dyDescent="0.25">
      <c r="A74">
        <v>595</v>
      </c>
      <c r="B74">
        <v>841</v>
      </c>
      <c r="C74">
        <f t="shared" si="3"/>
        <v>1190</v>
      </c>
      <c r="D74">
        <f t="shared" si="4"/>
        <v>26180</v>
      </c>
    </row>
    <row r="75" spans="1:4" x14ac:dyDescent="0.25">
      <c r="A75">
        <v>595</v>
      </c>
      <c r="B75">
        <v>841</v>
      </c>
      <c r="C75">
        <f t="shared" si="3"/>
        <v>1190</v>
      </c>
      <c r="D75">
        <f t="shared" si="4"/>
        <v>26180</v>
      </c>
    </row>
    <row r="76" spans="1:4" x14ac:dyDescent="0.25">
      <c r="A76">
        <v>595</v>
      </c>
      <c r="B76">
        <v>841</v>
      </c>
      <c r="C76">
        <f t="shared" si="3"/>
        <v>1190</v>
      </c>
      <c r="D76">
        <f t="shared" si="4"/>
        <v>26180</v>
      </c>
    </row>
    <row r="77" spans="1:4" x14ac:dyDescent="0.25">
      <c r="A77">
        <v>595</v>
      </c>
      <c r="B77">
        <v>841</v>
      </c>
      <c r="C77">
        <f t="shared" si="3"/>
        <v>1190</v>
      </c>
      <c r="D77">
        <f t="shared" si="4"/>
        <v>26180</v>
      </c>
    </row>
    <row r="78" spans="1:4" x14ac:dyDescent="0.25">
      <c r="A78">
        <v>595</v>
      </c>
      <c r="B78">
        <v>841</v>
      </c>
      <c r="C78">
        <f t="shared" si="3"/>
        <v>1190</v>
      </c>
      <c r="D78">
        <f t="shared" si="4"/>
        <v>26180</v>
      </c>
    </row>
    <row r="79" spans="1:4" x14ac:dyDescent="0.25">
      <c r="A79">
        <v>595</v>
      </c>
      <c r="B79">
        <v>841</v>
      </c>
      <c r="C79">
        <f t="shared" si="3"/>
        <v>1190</v>
      </c>
      <c r="D79">
        <f t="shared" si="4"/>
        <v>26180</v>
      </c>
    </row>
    <row r="80" spans="1:4" x14ac:dyDescent="0.25">
      <c r="A80">
        <v>595</v>
      </c>
      <c r="B80">
        <v>841</v>
      </c>
      <c r="C80">
        <f t="shared" si="3"/>
        <v>1190</v>
      </c>
      <c r="D80">
        <f t="shared" si="4"/>
        <v>26180</v>
      </c>
    </row>
    <row r="81" spans="1:4" x14ac:dyDescent="0.25">
      <c r="A81">
        <v>595</v>
      </c>
      <c r="B81">
        <v>841</v>
      </c>
      <c r="C81">
        <f t="shared" si="3"/>
        <v>1190</v>
      </c>
      <c r="D81">
        <f t="shared" si="4"/>
        <v>26180</v>
      </c>
    </row>
    <row r="82" spans="1:4" x14ac:dyDescent="0.25">
      <c r="A82">
        <v>595</v>
      </c>
      <c r="B82">
        <v>841</v>
      </c>
      <c r="C82">
        <f t="shared" si="3"/>
        <v>1190</v>
      </c>
      <c r="D82">
        <f t="shared" si="4"/>
        <v>26180</v>
      </c>
    </row>
    <row r="83" spans="1:4" x14ac:dyDescent="0.25">
      <c r="A83">
        <v>595</v>
      </c>
      <c r="B83">
        <v>841</v>
      </c>
      <c r="C83">
        <f t="shared" si="3"/>
        <v>1190</v>
      </c>
      <c r="D83">
        <f t="shared" si="4"/>
        <v>26180</v>
      </c>
    </row>
    <row r="84" spans="1:4" x14ac:dyDescent="0.25">
      <c r="A84">
        <v>595</v>
      </c>
      <c r="B84">
        <v>841</v>
      </c>
      <c r="C84">
        <f t="shared" si="3"/>
        <v>1190</v>
      </c>
      <c r="D84">
        <f t="shared" si="4"/>
        <v>26180</v>
      </c>
    </row>
    <row r="85" spans="1:4" x14ac:dyDescent="0.25">
      <c r="A85">
        <v>595</v>
      </c>
      <c r="B85">
        <v>841</v>
      </c>
      <c r="C85">
        <f t="shared" si="3"/>
        <v>1190</v>
      </c>
      <c r="D85">
        <f t="shared" si="4"/>
        <v>26180</v>
      </c>
    </row>
    <row r="86" spans="1:4" x14ac:dyDescent="0.25">
      <c r="A86">
        <v>595</v>
      </c>
      <c r="B86">
        <v>841</v>
      </c>
      <c r="C86">
        <f t="shared" si="3"/>
        <v>1190</v>
      </c>
      <c r="D86">
        <f t="shared" si="4"/>
        <v>26180</v>
      </c>
    </row>
    <row r="87" spans="1:4" x14ac:dyDescent="0.25">
      <c r="A87">
        <v>595</v>
      </c>
      <c r="B87">
        <v>841</v>
      </c>
      <c r="C87">
        <f t="shared" si="3"/>
        <v>1190</v>
      </c>
      <c r="D87">
        <f t="shared" si="4"/>
        <v>26180</v>
      </c>
    </row>
    <row r="88" spans="1:4" x14ac:dyDescent="0.25">
      <c r="A88">
        <v>595</v>
      </c>
      <c r="B88">
        <v>841</v>
      </c>
      <c r="C88">
        <f t="shared" si="3"/>
        <v>1190</v>
      </c>
      <c r="D88">
        <f t="shared" si="4"/>
        <v>26180</v>
      </c>
    </row>
    <row r="89" spans="1:4" x14ac:dyDescent="0.25">
      <c r="A89">
        <v>595</v>
      </c>
      <c r="B89">
        <v>841</v>
      </c>
      <c r="C89">
        <f t="shared" si="3"/>
        <v>1190</v>
      </c>
      <c r="D89">
        <f t="shared" si="4"/>
        <v>26180</v>
      </c>
    </row>
    <row r="90" spans="1:4" x14ac:dyDescent="0.25">
      <c r="A90">
        <v>595</v>
      </c>
      <c r="B90">
        <v>841</v>
      </c>
      <c r="C90">
        <f t="shared" si="3"/>
        <v>1190</v>
      </c>
      <c r="D90">
        <f t="shared" si="4"/>
        <v>26180</v>
      </c>
    </row>
    <row r="91" spans="1:4" x14ac:dyDescent="0.25">
      <c r="A91">
        <v>595</v>
      </c>
      <c r="B91">
        <v>841</v>
      </c>
      <c r="C91">
        <f t="shared" si="3"/>
        <v>1190</v>
      </c>
      <c r="D91">
        <f t="shared" si="4"/>
        <v>26180</v>
      </c>
    </row>
    <row r="92" spans="1:4" x14ac:dyDescent="0.25">
      <c r="A92">
        <v>595</v>
      </c>
      <c r="B92">
        <v>841</v>
      </c>
      <c r="C92">
        <f t="shared" si="3"/>
        <v>1190</v>
      </c>
      <c r="D92">
        <f t="shared" si="4"/>
        <v>26180</v>
      </c>
    </row>
    <row r="93" spans="1:4" x14ac:dyDescent="0.25">
      <c r="A93">
        <v>595</v>
      </c>
      <c r="B93">
        <v>841</v>
      </c>
      <c r="C93">
        <f t="shared" si="3"/>
        <v>1190</v>
      </c>
      <c r="D93">
        <f t="shared" si="4"/>
        <v>26180</v>
      </c>
    </row>
    <row r="94" spans="1:4" x14ac:dyDescent="0.25">
      <c r="A94">
        <v>595</v>
      </c>
      <c r="B94">
        <v>841</v>
      </c>
      <c r="C94">
        <f t="shared" si="3"/>
        <v>1190</v>
      </c>
      <c r="D94">
        <f t="shared" si="4"/>
        <v>26180</v>
      </c>
    </row>
    <row r="95" spans="1:4" x14ac:dyDescent="0.25">
      <c r="A95">
        <v>595</v>
      </c>
      <c r="B95">
        <v>841</v>
      </c>
      <c r="C95">
        <f t="shared" si="3"/>
        <v>1190</v>
      </c>
      <c r="D95">
        <f t="shared" si="4"/>
        <v>26180</v>
      </c>
    </row>
    <row r="96" spans="1:4" x14ac:dyDescent="0.25">
      <c r="A96">
        <v>595</v>
      </c>
      <c r="B96">
        <v>841</v>
      </c>
      <c r="C96">
        <f t="shared" si="3"/>
        <v>1190</v>
      </c>
      <c r="D96">
        <f t="shared" si="4"/>
        <v>26180</v>
      </c>
    </row>
    <row r="97" spans="1:4" x14ac:dyDescent="0.25">
      <c r="A97">
        <v>595</v>
      </c>
      <c r="B97">
        <v>841</v>
      </c>
      <c r="C97">
        <f t="shared" si="3"/>
        <v>1190</v>
      </c>
      <c r="D97">
        <f t="shared" si="4"/>
        <v>26180</v>
      </c>
    </row>
    <row r="98" spans="1:4" x14ac:dyDescent="0.25">
      <c r="A98">
        <v>595</v>
      </c>
      <c r="B98">
        <v>841</v>
      </c>
      <c r="C98">
        <f t="shared" ref="C98:C129" si="5">A98*2</f>
        <v>1190</v>
      </c>
      <c r="D98">
        <f t="shared" si="4"/>
        <v>26180</v>
      </c>
    </row>
    <row r="99" spans="1:4" x14ac:dyDescent="0.25">
      <c r="A99">
        <v>595</v>
      </c>
      <c r="B99">
        <v>841</v>
      </c>
      <c r="C99">
        <f t="shared" si="5"/>
        <v>1190</v>
      </c>
      <c r="D99">
        <f t="shared" si="4"/>
        <v>26180</v>
      </c>
    </row>
    <row r="100" spans="1:4" x14ac:dyDescent="0.25">
      <c r="A100">
        <v>595</v>
      </c>
      <c r="B100">
        <v>841</v>
      </c>
      <c r="C100">
        <f t="shared" si="5"/>
        <v>1190</v>
      </c>
      <c r="D100">
        <f t="shared" si="4"/>
        <v>26180</v>
      </c>
    </row>
    <row r="101" spans="1:4" x14ac:dyDescent="0.25">
      <c r="A101">
        <v>595</v>
      </c>
      <c r="B101">
        <v>841</v>
      </c>
      <c r="C101">
        <f t="shared" si="5"/>
        <v>1190</v>
      </c>
      <c r="D101">
        <f t="shared" si="4"/>
        <v>26180</v>
      </c>
    </row>
    <row r="102" spans="1:4" x14ac:dyDescent="0.25">
      <c r="A102">
        <v>595</v>
      </c>
      <c r="B102">
        <v>841</v>
      </c>
      <c r="C102">
        <f t="shared" si="5"/>
        <v>1190</v>
      </c>
      <c r="D102">
        <f t="shared" si="4"/>
        <v>26180</v>
      </c>
    </row>
    <row r="103" spans="1:4" x14ac:dyDescent="0.25">
      <c r="A103">
        <v>595</v>
      </c>
      <c r="B103">
        <v>841</v>
      </c>
      <c r="C103">
        <f t="shared" si="5"/>
        <v>1190</v>
      </c>
      <c r="D103">
        <f t="shared" si="4"/>
        <v>26180</v>
      </c>
    </row>
    <row r="104" spans="1:4" x14ac:dyDescent="0.25">
      <c r="A104">
        <v>595</v>
      </c>
      <c r="B104">
        <v>841</v>
      </c>
      <c r="C104">
        <f t="shared" si="5"/>
        <v>1190</v>
      </c>
      <c r="D104">
        <f t="shared" si="4"/>
        <v>26180</v>
      </c>
    </row>
    <row r="105" spans="1:4" x14ac:dyDescent="0.25">
      <c r="A105">
        <v>595</v>
      </c>
      <c r="B105">
        <v>841</v>
      </c>
      <c r="C105">
        <f t="shared" si="5"/>
        <v>1190</v>
      </c>
      <c r="D105">
        <f t="shared" si="4"/>
        <v>26180</v>
      </c>
    </row>
    <row r="106" spans="1:4" x14ac:dyDescent="0.25">
      <c r="A106">
        <v>595</v>
      </c>
      <c r="B106">
        <v>841</v>
      </c>
      <c r="C106">
        <f t="shared" si="5"/>
        <v>1190</v>
      </c>
      <c r="D106">
        <f t="shared" si="4"/>
        <v>26180</v>
      </c>
    </row>
    <row r="107" spans="1:4" x14ac:dyDescent="0.25">
      <c r="A107">
        <v>595</v>
      </c>
      <c r="B107">
        <v>841</v>
      </c>
      <c r="C107">
        <f t="shared" si="5"/>
        <v>1190</v>
      </c>
      <c r="D107">
        <f t="shared" si="4"/>
        <v>26180</v>
      </c>
    </row>
    <row r="108" spans="1:4" x14ac:dyDescent="0.25">
      <c r="A108">
        <v>595</v>
      </c>
      <c r="B108">
        <v>841</v>
      </c>
      <c r="C108">
        <f t="shared" si="5"/>
        <v>1190</v>
      </c>
      <c r="D108">
        <f t="shared" si="4"/>
        <v>26180</v>
      </c>
    </row>
    <row r="109" spans="1:4" x14ac:dyDescent="0.25">
      <c r="A109">
        <v>595</v>
      </c>
      <c r="B109">
        <v>841</v>
      </c>
      <c r="C109">
        <f t="shared" si="5"/>
        <v>1190</v>
      </c>
      <c r="D109">
        <f t="shared" si="4"/>
        <v>26180</v>
      </c>
    </row>
    <row r="110" spans="1:4" x14ac:dyDescent="0.25">
      <c r="A110">
        <v>595</v>
      </c>
      <c r="B110">
        <v>841</v>
      </c>
      <c r="C110">
        <f t="shared" si="5"/>
        <v>1190</v>
      </c>
      <c r="D110">
        <f t="shared" si="4"/>
        <v>26180</v>
      </c>
    </row>
    <row r="111" spans="1:4" x14ac:dyDescent="0.25">
      <c r="A111">
        <v>595</v>
      </c>
      <c r="B111">
        <v>841</v>
      </c>
      <c r="C111">
        <f t="shared" si="5"/>
        <v>1190</v>
      </c>
      <c r="D111">
        <f t="shared" si="4"/>
        <v>26180</v>
      </c>
    </row>
    <row r="112" spans="1:4" x14ac:dyDescent="0.25">
      <c r="A112">
        <v>595</v>
      </c>
      <c r="B112">
        <v>841</v>
      </c>
      <c r="C112">
        <f t="shared" si="5"/>
        <v>1190</v>
      </c>
      <c r="D112">
        <f t="shared" si="4"/>
        <v>26180</v>
      </c>
    </row>
    <row r="113" spans="1:4" x14ac:dyDescent="0.25">
      <c r="A113">
        <v>595</v>
      </c>
      <c r="B113">
        <v>841</v>
      </c>
      <c r="C113">
        <f t="shared" si="5"/>
        <v>1190</v>
      </c>
      <c r="D113">
        <f t="shared" si="4"/>
        <v>26180</v>
      </c>
    </row>
    <row r="114" spans="1:4" x14ac:dyDescent="0.25">
      <c r="A114">
        <v>595</v>
      </c>
      <c r="B114">
        <v>841</v>
      </c>
      <c r="C114">
        <f t="shared" si="5"/>
        <v>1190</v>
      </c>
      <c r="D114">
        <f t="shared" si="4"/>
        <v>26180</v>
      </c>
    </row>
    <row r="115" spans="1:4" x14ac:dyDescent="0.25">
      <c r="A115">
        <v>595</v>
      </c>
      <c r="B115">
        <v>841</v>
      </c>
      <c r="C115">
        <f t="shared" si="5"/>
        <v>1190</v>
      </c>
      <c r="D115">
        <f t="shared" si="4"/>
        <v>26180</v>
      </c>
    </row>
    <row r="116" spans="1:4" x14ac:dyDescent="0.25">
      <c r="A116">
        <v>595</v>
      </c>
      <c r="B116">
        <v>841</v>
      </c>
      <c r="C116">
        <f t="shared" si="5"/>
        <v>1190</v>
      </c>
      <c r="D116">
        <f t="shared" si="4"/>
        <v>26180</v>
      </c>
    </row>
    <row r="117" spans="1:4" x14ac:dyDescent="0.25">
      <c r="A117">
        <v>595</v>
      </c>
      <c r="B117">
        <v>841</v>
      </c>
      <c r="C117">
        <f t="shared" si="5"/>
        <v>1190</v>
      </c>
      <c r="D117">
        <f t="shared" si="4"/>
        <v>26180</v>
      </c>
    </row>
    <row r="118" spans="1:4" x14ac:dyDescent="0.25">
      <c r="A118">
        <v>595</v>
      </c>
      <c r="B118">
        <v>841</v>
      </c>
      <c r="C118">
        <f t="shared" si="5"/>
        <v>1190</v>
      </c>
      <c r="D118">
        <f t="shared" si="4"/>
        <v>26180</v>
      </c>
    </row>
    <row r="119" spans="1:4" x14ac:dyDescent="0.25">
      <c r="A119">
        <v>595</v>
      </c>
      <c r="B119">
        <v>841</v>
      </c>
      <c r="C119">
        <f t="shared" si="5"/>
        <v>1190</v>
      </c>
      <c r="D119">
        <f t="shared" si="4"/>
        <v>26180</v>
      </c>
    </row>
    <row r="120" spans="1:4" x14ac:dyDescent="0.25">
      <c r="A120">
        <v>595</v>
      </c>
      <c r="B120">
        <v>841</v>
      </c>
      <c r="C120">
        <f t="shared" si="5"/>
        <v>1190</v>
      </c>
      <c r="D120">
        <f t="shared" si="4"/>
        <v>26180</v>
      </c>
    </row>
    <row r="121" spans="1:4" x14ac:dyDescent="0.25">
      <c r="A121">
        <v>595</v>
      </c>
      <c r="B121">
        <v>841</v>
      </c>
      <c r="C121">
        <f t="shared" si="5"/>
        <v>1190</v>
      </c>
      <c r="D121">
        <f t="shared" si="4"/>
        <v>26180</v>
      </c>
    </row>
    <row r="122" spans="1:4" x14ac:dyDescent="0.25">
      <c r="A122">
        <v>595</v>
      </c>
      <c r="B122">
        <v>841</v>
      </c>
      <c r="C122">
        <f t="shared" si="5"/>
        <v>1190</v>
      </c>
      <c r="D122">
        <f t="shared" si="4"/>
        <v>26180</v>
      </c>
    </row>
    <row r="123" spans="1:4" x14ac:dyDescent="0.25">
      <c r="A123">
        <v>595</v>
      </c>
      <c r="B123">
        <v>841</v>
      </c>
      <c r="C123">
        <f t="shared" si="5"/>
        <v>1190</v>
      </c>
      <c r="D123">
        <f t="shared" si="4"/>
        <v>26180</v>
      </c>
    </row>
    <row r="124" spans="1:4" x14ac:dyDescent="0.25">
      <c r="A124">
        <v>595</v>
      </c>
      <c r="B124">
        <v>841</v>
      </c>
      <c r="C124">
        <f t="shared" si="5"/>
        <v>1190</v>
      </c>
      <c r="D124">
        <f t="shared" si="4"/>
        <v>26180</v>
      </c>
    </row>
    <row r="125" spans="1:4" x14ac:dyDescent="0.25">
      <c r="A125">
        <v>595</v>
      </c>
      <c r="B125">
        <v>841</v>
      </c>
      <c r="C125">
        <f t="shared" si="5"/>
        <v>1190</v>
      </c>
      <c r="D125">
        <f t="shared" si="4"/>
        <v>26180</v>
      </c>
    </row>
    <row r="126" spans="1:4" x14ac:dyDescent="0.25">
      <c r="A126">
        <v>595</v>
      </c>
      <c r="B126">
        <v>841</v>
      </c>
      <c r="C126">
        <f t="shared" si="5"/>
        <v>1190</v>
      </c>
      <c r="D126">
        <f t="shared" si="4"/>
        <v>26180</v>
      </c>
    </row>
    <row r="127" spans="1:4" x14ac:dyDescent="0.25">
      <c r="A127">
        <v>595</v>
      </c>
      <c r="B127">
        <v>841</v>
      </c>
      <c r="C127">
        <f t="shared" si="5"/>
        <v>1190</v>
      </c>
      <c r="D127">
        <f t="shared" si="4"/>
        <v>26180</v>
      </c>
    </row>
    <row r="128" spans="1:4" x14ac:dyDescent="0.25">
      <c r="A128">
        <v>595</v>
      </c>
      <c r="B128">
        <v>841</v>
      </c>
      <c r="C128">
        <f t="shared" si="5"/>
        <v>1190</v>
      </c>
      <c r="D128">
        <f t="shared" si="4"/>
        <v>26180</v>
      </c>
    </row>
    <row r="129" spans="1:4" x14ac:dyDescent="0.25">
      <c r="A129">
        <v>595</v>
      </c>
      <c r="B129">
        <v>841</v>
      </c>
      <c r="C129">
        <f t="shared" si="5"/>
        <v>1190</v>
      </c>
      <c r="D129">
        <f t="shared" si="4"/>
        <v>26180</v>
      </c>
    </row>
    <row r="130" spans="1:4" x14ac:dyDescent="0.25">
      <c r="A130">
        <v>595</v>
      </c>
      <c r="B130">
        <v>841</v>
      </c>
      <c r="C130">
        <f t="shared" ref="C130:C161" si="6">A130*2</f>
        <v>1190</v>
      </c>
      <c r="D130">
        <f t="shared" si="4"/>
        <v>26180</v>
      </c>
    </row>
    <row r="131" spans="1:4" x14ac:dyDescent="0.25">
      <c r="A131">
        <v>595</v>
      </c>
      <c r="B131">
        <v>841</v>
      </c>
      <c r="C131">
        <f t="shared" si="6"/>
        <v>1190</v>
      </c>
      <c r="D131">
        <f t="shared" ref="D131:D183" si="7">C131*$E$1</f>
        <v>26180</v>
      </c>
    </row>
    <row r="132" spans="1:4" x14ac:dyDescent="0.25">
      <c r="A132">
        <v>595</v>
      </c>
      <c r="B132">
        <v>841</v>
      </c>
      <c r="C132">
        <f t="shared" si="6"/>
        <v>1190</v>
      </c>
      <c r="D132">
        <f t="shared" si="7"/>
        <v>26180</v>
      </c>
    </row>
    <row r="133" spans="1:4" x14ac:dyDescent="0.25">
      <c r="A133">
        <v>595</v>
      </c>
      <c r="B133">
        <v>841</v>
      </c>
      <c r="C133">
        <f t="shared" si="6"/>
        <v>1190</v>
      </c>
      <c r="D133">
        <f t="shared" si="7"/>
        <v>26180</v>
      </c>
    </row>
    <row r="134" spans="1:4" x14ac:dyDescent="0.25">
      <c r="A134">
        <v>595</v>
      </c>
      <c r="B134">
        <v>841</v>
      </c>
      <c r="C134">
        <f t="shared" si="6"/>
        <v>1190</v>
      </c>
      <c r="D134">
        <f t="shared" si="7"/>
        <v>26180</v>
      </c>
    </row>
    <row r="135" spans="1:4" x14ac:dyDescent="0.25">
      <c r="A135">
        <v>595</v>
      </c>
      <c r="B135">
        <v>841</v>
      </c>
      <c r="C135">
        <f t="shared" si="6"/>
        <v>1190</v>
      </c>
      <c r="D135">
        <f t="shared" si="7"/>
        <v>26180</v>
      </c>
    </row>
    <row r="136" spans="1:4" x14ac:dyDescent="0.25">
      <c r="A136">
        <v>595</v>
      </c>
      <c r="B136">
        <v>841</v>
      </c>
      <c r="C136">
        <f t="shared" si="6"/>
        <v>1190</v>
      </c>
      <c r="D136">
        <f t="shared" si="7"/>
        <v>26180</v>
      </c>
    </row>
    <row r="137" spans="1:4" x14ac:dyDescent="0.25">
      <c r="A137">
        <v>595</v>
      </c>
      <c r="B137">
        <v>841</v>
      </c>
      <c r="C137">
        <f t="shared" si="6"/>
        <v>1190</v>
      </c>
      <c r="D137">
        <f t="shared" si="7"/>
        <v>26180</v>
      </c>
    </row>
    <row r="138" spans="1:4" x14ac:dyDescent="0.25">
      <c r="A138">
        <v>595</v>
      </c>
      <c r="B138">
        <v>841</v>
      </c>
      <c r="C138">
        <f t="shared" si="6"/>
        <v>1190</v>
      </c>
      <c r="D138">
        <f t="shared" si="7"/>
        <v>26180</v>
      </c>
    </row>
    <row r="139" spans="1:4" x14ac:dyDescent="0.25">
      <c r="A139">
        <v>595</v>
      </c>
      <c r="B139">
        <v>841</v>
      </c>
      <c r="C139">
        <f t="shared" si="6"/>
        <v>1190</v>
      </c>
      <c r="D139">
        <f t="shared" si="7"/>
        <v>26180</v>
      </c>
    </row>
    <row r="140" spans="1:4" x14ac:dyDescent="0.25">
      <c r="A140">
        <v>595</v>
      </c>
      <c r="B140">
        <v>841</v>
      </c>
      <c r="C140">
        <f t="shared" si="6"/>
        <v>1190</v>
      </c>
      <c r="D140">
        <f t="shared" si="7"/>
        <v>26180</v>
      </c>
    </row>
    <row r="141" spans="1:4" x14ac:dyDescent="0.25">
      <c r="A141">
        <v>595</v>
      </c>
      <c r="B141">
        <v>841</v>
      </c>
      <c r="C141">
        <f t="shared" si="6"/>
        <v>1190</v>
      </c>
      <c r="D141">
        <f t="shared" si="7"/>
        <v>26180</v>
      </c>
    </row>
    <row r="142" spans="1:4" x14ac:dyDescent="0.25">
      <c r="A142">
        <v>595</v>
      </c>
      <c r="B142">
        <v>841</v>
      </c>
      <c r="C142">
        <f t="shared" si="6"/>
        <v>1190</v>
      </c>
      <c r="D142">
        <f t="shared" si="7"/>
        <v>26180</v>
      </c>
    </row>
    <row r="143" spans="1:4" x14ac:dyDescent="0.25">
      <c r="A143">
        <v>595</v>
      </c>
      <c r="B143">
        <v>841</v>
      </c>
      <c r="C143">
        <f t="shared" si="6"/>
        <v>1190</v>
      </c>
      <c r="D143">
        <f t="shared" si="7"/>
        <v>26180</v>
      </c>
    </row>
    <row r="144" spans="1:4" x14ac:dyDescent="0.25">
      <c r="A144">
        <v>595</v>
      </c>
      <c r="B144">
        <v>841</v>
      </c>
      <c r="C144">
        <f t="shared" si="6"/>
        <v>1190</v>
      </c>
      <c r="D144">
        <f t="shared" si="7"/>
        <v>26180</v>
      </c>
    </row>
    <row r="145" spans="1:4" x14ac:dyDescent="0.25">
      <c r="A145">
        <v>595</v>
      </c>
      <c r="B145">
        <v>841</v>
      </c>
      <c r="C145">
        <f t="shared" si="6"/>
        <v>1190</v>
      </c>
      <c r="D145">
        <f t="shared" si="7"/>
        <v>26180</v>
      </c>
    </row>
    <row r="146" spans="1:4" x14ac:dyDescent="0.25">
      <c r="A146">
        <v>595</v>
      </c>
      <c r="B146">
        <v>841</v>
      </c>
      <c r="C146">
        <f t="shared" si="6"/>
        <v>1190</v>
      </c>
      <c r="D146">
        <f t="shared" si="7"/>
        <v>26180</v>
      </c>
    </row>
    <row r="147" spans="1:4" x14ac:dyDescent="0.25">
      <c r="A147">
        <v>595</v>
      </c>
      <c r="B147">
        <v>841</v>
      </c>
      <c r="C147">
        <f t="shared" si="6"/>
        <v>1190</v>
      </c>
      <c r="D147">
        <f t="shared" si="7"/>
        <v>26180</v>
      </c>
    </row>
    <row r="148" spans="1:4" x14ac:dyDescent="0.25">
      <c r="A148">
        <v>595</v>
      </c>
      <c r="B148">
        <v>841</v>
      </c>
      <c r="C148">
        <f t="shared" si="6"/>
        <v>1190</v>
      </c>
      <c r="D148">
        <f t="shared" si="7"/>
        <v>26180</v>
      </c>
    </row>
    <row r="149" spans="1:4" x14ac:dyDescent="0.25">
      <c r="A149">
        <v>595</v>
      </c>
      <c r="B149">
        <v>841</v>
      </c>
      <c r="C149">
        <f t="shared" si="6"/>
        <v>1190</v>
      </c>
      <c r="D149">
        <f t="shared" si="7"/>
        <v>26180</v>
      </c>
    </row>
    <row r="150" spans="1:4" x14ac:dyDescent="0.25">
      <c r="A150">
        <v>595</v>
      </c>
      <c r="B150">
        <v>841</v>
      </c>
      <c r="C150">
        <f t="shared" si="6"/>
        <v>1190</v>
      </c>
      <c r="D150">
        <f t="shared" si="7"/>
        <v>26180</v>
      </c>
    </row>
    <row r="151" spans="1:4" x14ac:dyDescent="0.25">
      <c r="A151">
        <v>595</v>
      </c>
      <c r="B151">
        <v>841</v>
      </c>
      <c r="C151">
        <f t="shared" si="6"/>
        <v>1190</v>
      </c>
      <c r="D151">
        <f t="shared" si="7"/>
        <v>26180</v>
      </c>
    </row>
    <row r="152" spans="1:4" x14ac:dyDescent="0.25">
      <c r="A152">
        <v>595</v>
      </c>
      <c r="B152">
        <v>841</v>
      </c>
      <c r="C152">
        <f t="shared" si="6"/>
        <v>1190</v>
      </c>
      <c r="D152">
        <f t="shared" si="7"/>
        <v>26180</v>
      </c>
    </row>
    <row r="153" spans="1:4" x14ac:dyDescent="0.25">
      <c r="A153">
        <v>595</v>
      </c>
      <c r="B153">
        <v>841</v>
      </c>
      <c r="C153">
        <f t="shared" si="6"/>
        <v>1190</v>
      </c>
      <c r="D153">
        <f t="shared" si="7"/>
        <v>26180</v>
      </c>
    </row>
    <row r="154" spans="1:4" x14ac:dyDescent="0.25">
      <c r="A154">
        <v>595</v>
      </c>
      <c r="B154">
        <v>841</v>
      </c>
      <c r="C154">
        <f t="shared" si="6"/>
        <v>1190</v>
      </c>
      <c r="D154">
        <f t="shared" si="7"/>
        <v>26180</v>
      </c>
    </row>
    <row r="155" spans="1:4" x14ac:dyDescent="0.25">
      <c r="A155">
        <v>595</v>
      </c>
      <c r="B155">
        <v>841</v>
      </c>
      <c r="C155">
        <f t="shared" si="6"/>
        <v>1190</v>
      </c>
      <c r="D155">
        <f t="shared" si="7"/>
        <v>26180</v>
      </c>
    </row>
    <row r="156" spans="1:4" x14ac:dyDescent="0.25">
      <c r="A156">
        <v>595</v>
      </c>
      <c r="B156">
        <v>841</v>
      </c>
      <c r="C156">
        <f t="shared" si="6"/>
        <v>1190</v>
      </c>
      <c r="D156">
        <f t="shared" si="7"/>
        <v>26180</v>
      </c>
    </row>
    <row r="157" spans="1:4" x14ac:dyDescent="0.25">
      <c r="A157">
        <v>595</v>
      </c>
      <c r="B157">
        <v>841</v>
      </c>
      <c r="C157">
        <f t="shared" si="6"/>
        <v>1190</v>
      </c>
      <c r="D157">
        <f t="shared" si="7"/>
        <v>26180</v>
      </c>
    </row>
    <row r="158" spans="1:4" x14ac:dyDescent="0.25">
      <c r="A158">
        <v>595</v>
      </c>
      <c r="B158">
        <v>841</v>
      </c>
      <c r="C158">
        <f t="shared" si="6"/>
        <v>1190</v>
      </c>
      <c r="D158">
        <f t="shared" si="7"/>
        <v>26180</v>
      </c>
    </row>
    <row r="159" spans="1:4" x14ac:dyDescent="0.25">
      <c r="A159">
        <v>595</v>
      </c>
      <c r="B159">
        <v>841</v>
      </c>
      <c r="C159">
        <f t="shared" si="6"/>
        <v>1190</v>
      </c>
      <c r="D159">
        <f t="shared" si="7"/>
        <v>26180</v>
      </c>
    </row>
    <row r="160" spans="1:4" x14ac:dyDescent="0.25">
      <c r="A160">
        <v>595</v>
      </c>
      <c r="B160">
        <v>841</v>
      </c>
      <c r="C160">
        <f t="shared" si="6"/>
        <v>1190</v>
      </c>
      <c r="D160">
        <f t="shared" si="7"/>
        <v>26180</v>
      </c>
    </row>
    <row r="161" spans="1:4" x14ac:dyDescent="0.25">
      <c r="A161">
        <v>595</v>
      </c>
      <c r="B161">
        <v>841</v>
      </c>
      <c r="C161">
        <f t="shared" si="6"/>
        <v>1190</v>
      </c>
      <c r="D161">
        <f t="shared" si="7"/>
        <v>26180</v>
      </c>
    </row>
    <row r="162" spans="1:4" x14ac:dyDescent="0.25">
      <c r="A162">
        <v>595</v>
      </c>
      <c r="B162">
        <v>841</v>
      </c>
      <c r="C162">
        <f t="shared" ref="C162:C183" si="8">A162*2</f>
        <v>1190</v>
      </c>
      <c r="D162">
        <f t="shared" si="7"/>
        <v>26180</v>
      </c>
    </row>
    <row r="163" spans="1:4" x14ac:dyDescent="0.25">
      <c r="A163">
        <v>595</v>
      </c>
      <c r="B163">
        <v>841</v>
      </c>
      <c r="C163">
        <f t="shared" si="8"/>
        <v>1190</v>
      </c>
      <c r="D163">
        <f t="shared" si="7"/>
        <v>26180</v>
      </c>
    </row>
    <row r="164" spans="1:4" x14ac:dyDescent="0.25">
      <c r="A164">
        <v>595</v>
      </c>
      <c r="B164">
        <v>841</v>
      </c>
      <c r="C164">
        <f t="shared" si="8"/>
        <v>1190</v>
      </c>
      <c r="D164">
        <f t="shared" si="7"/>
        <v>26180</v>
      </c>
    </row>
    <row r="165" spans="1:4" x14ac:dyDescent="0.25">
      <c r="A165">
        <v>595</v>
      </c>
      <c r="B165">
        <v>841</v>
      </c>
      <c r="C165">
        <f t="shared" si="8"/>
        <v>1190</v>
      </c>
      <c r="D165">
        <f t="shared" si="7"/>
        <v>26180</v>
      </c>
    </row>
    <row r="166" spans="1:4" x14ac:dyDescent="0.25">
      <c r="A166">
        <v>595</v>
      </c>
      <c r="B166">
        <v>841</v>
      </c>
      <c r="C166">
        <f t="shared" si="8"/>
        <v>1190</v>
      </c>
      <c r="D166">
        <f t="shared" si="7"/>
        <v>26180</v>
      </c>
    </row>
    <row r="167" spans="1:4" x14ac:dyDescent="0.25">
      <c r="A167">
        <v>595</v>
      </c>
      <c r="B167">
        <v>841</v>
      </c>
      <c r="C167">
        <f t="shared" si="8"/>
        <v>1190</v>
      </c>
      <c r="D167">
        <f t="shared" si="7"/>
        <v>26180</v>
      </c>
    </row>
    <row r="168" spans="1:4" x14ac:dyDescent="0.25">
      <c r="A168">
        <v>595</v>
      </c>
      <c r="B168">
        <v>841</v>
      </c>
      <c r="C168">
        <f t="shared" si="8"/>
        <v>1190</v>
      </c>
      <c r="D168">
        <f t="shared" si="7"/>
        <v>26180</v>
      </c>
    </row>
    <row r="169" spans="1:4" x14ac:dyDescent="0.25">
      <c r="A169">
        <v>595</v>
      </c>
      <c r="B169">
        <v>841</v>
      </c>
      <c r="C169">
        <f t="shared" si="8"/>
        <v>1190</v>
      </c>
      <c r="D169">
        <f t="shared" si="7"/>
        <v>26180</v>
      </c>
    </row>
    <row r="170" spans="1:4" x14ac:dyDescent="0.25">
      <c r="A170">
        <v>595</v>
      </c>
      <c r="B170">
        <v>841</v>
      </c>
      <c r="C170">
        <f t="shared" si="8"/>
        <v>1190</v>
      </c>
      <c r="D170">
        <f t="shared" si="7"/>
        <v>26180</v>
      </c>
    </row>
    <row r="171" spans="1:4" x14ac:dyDescent="0.25">
      <c r="A171">
        <v>595</v>
      </c>
      <c r="B171">
        <v>841</v>
      </c>
      <c r="C171">
        <f t="shared" si="8"/>
        <v>1190</v>
      </c>
      <c r="D171">
        <f t="shared" si="7"/>
        <v>26180</v>
      </c>
    </row>
    <row r="172" spans="1:4" x14ac:dyDescent="0.25">
      <c r="A172">
        <v>595</v>
      </c>
      <c r="B172">
        <v>841</v>
      </c>
      <c r="C172">
        <f t="shared" si="8"/>
        <v>1190</v>
      </c>
      <c r="D172">
        <f t="shared" si="7"/>
        <v>26180</v>
      </c>
    </row>
    <row r="173" spans="1:4" x14ac:dyDescent="0.25">
      <c r="A173">
        <v>595</v>
      </c>
      <c r="B173">
        <v>841</v>
      </c>
      <c r="C173">
        <f t="shared" si="8"/>
        <v>1190</v>
      </c>
      <c r="D173">
        <f t="shared" si="7"/>
        <v>26180</v>
      </c>
    </row>
    <row r="174" spans="1:4" x14ac:dyDescent="0.25">
      <c r="A174">
        <v>595</v>
      </c>
      <c r="B174">
        <v>841</v>
      </c>
      <c r="C174">
        <f t="shared" si="8"/>
        <v>1190</v>
      </c>
      <c r="D174">
        <f t="shared" si="7"/>
        <v>26180</v>
      </c>
    </row>
    <row r="175" spans="1:4" x14ac:dyDescent="0.25">
      <c r="A175">
        <v>595</v>
      </c>
      <c r="B175">
        <v>841</v>
      </c>
      <c r="C175">
        <f t="shared" si="8"/>
        <v>1190</v>
      </c>
      <c r="D175">
        <f t="shared" si="7"/>
        <v>26180</v>
      </c>
    </row>
    <row r="176" spans="1:4" x14ac:dyDescent="0.25">
      <c r="A176">
        <v>595</v>
      </c>
      <c r="B176">
        <v>841</v>
      </c>
      <c r="C176">
        <f t="shared" si="8"/>
        <v>1190</v>
      </c>
      <c r="D176">
        <f t="shared" si="7"/>
        <v>26180</v>
      </c>
    </row>
    <row r="177" spans="1:4" x14ac:dyDescent="0.25">
      <c r="A177">
        <v>595</v>
      </c>
      <c r="B177">
        <v>841</v>
      </c>
      <c r="C177">
        <f t="shared" si="8"/>
        <v>1190</v>
      </c>
      <c r="D177">
        <f t="shared" si="7"/>
        <v>26180</v>
      </c>
    </row>
    <row r="178" spans="1:4" x14ac:dyDescent="0.25">
      <c r="A178">
        <v>595</v>
      </c>
      <c r="B178">
        <v>841</v>
      </c>
      <c r="C178">
        <f t="shared" si="8"/>
        <v>1190</v>
      </c>
      <c r="D178">
        <f t="shared" si="7"/>
        <v>26180</v>
      </c>
    </row>
    <row r="179" spans="1:4" x14ac:dyDescent="0.25">
      <c r="A179">
        <v>595</v>
      </c>
      <c r="B179">
        <v>841</v>
      </c>
      <c r="C179">
        <f t="shared" si="8"/>
        <v>1190</v>
      </c>
      <c r="D179">
        <f t="shared" si="7"/>
        <v>26180</v>
      </c>
    </row>
    <row r="180" spans="1:4" x14ac:dyDescent="0.25">
      <c r="A180">
        <v>595</v>
      </c>
      <c r="B180">
        <v>841</v>
      </c>
      <c r="C180">
        <f t="shared" si="8"/>
        <v>1190</v>
      </c>
      <c r="D180">
        <f t="shared" si="7"/>
        <v>26180</v>
      </c>
    </row>
    <row r="181" spans="1:4" x14ac:dyDescent="0.25">
      <c r="A181">
        <v>595</v>
      </c>
      <c r="B181">
        <v>841</v>
      </c>
      <c r="C181">
        <f t="shared" si="8"/>
        <v>1190</v>
      </c>
      <c r="D181">
        <f t="shared" si="7"/>
        <v>26180</v>
      </c>
    </row>
    <row r="182" spans="1:4" x14ac:dyDescent="0.25">
      <c r="A182">
        <v>595</v>
      </c>
      <c r="B182">
        <v>841</v>
      </c>
      <c r="C182">
        <f t="shared" si="8"/>
        <v>1190</v>
      </c>
      <c r="D182">
        <f t="shared" si="7"/>
        <v>26180</v>
      </c>
    </row>
    <row r="183" spans="1:4" x14ac:dyDescent="0.25">
      <c r="A183">
        <v>595</v>
      </c>
      <c r="B183">
        <v>841</v>
      </c>
      <c r="C183">
        <f t="shared" si="8"/>
        <v>1190</v>
      </c>
      <c r="D183">
        <f t="shared" si="7"/>
        <v>26180</v>
      </c>
    </row>
    <row r="193" spans="8:8" x14ac:dyDescent="0.25">
      <c r="H193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luna_xml">
                <anchor moveWithCells="1">
                  <from>
                    <xdr:col>7</xdr:col>
                    <xdr:colOff>0</xdr:colOff>
                    <xdr:row>8</xdr:row>
                    <xdr:rowOff>38100</xdr:rowOff>
                  </from>
                  <to>
                    <xdr:col>8</xdr:col>
                    <xdr:colOff>495300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D3C0-843D-48EA-A1CB-E15E959DBA31}">
  <sheetPr codeName="Planilha2"/>
  <dimension ref="C2:D8"/>
  <sheetViews>
    <sheetView workbookViewId="0">
      <selection activeCell="E6" sqref="E6"/>
    </sheetView>
  </sheetViews>
  <sheetFormatPr defaultRowHeight="15" x14ac:dyDescent="0.25"/>
  <cols>
    <col min="3" max="3" width="21.28515625" customWidth="1"/>
    <col min="4" max="9" width="17.7109375" customWidth="1"/>
  </cols>
  <sheetData>
    <row r="2" spans="3:4" ht="21" x14ac:dyDescent="0.35">
      <c r="C2" s="8" t="s">
        <v>3</v>
      </c>
      <c r="D2" s="9"/>
    </row>
    <row r="3" spans="3:4" ht="18.75" x14ac:dyDescent="0.3">
      <c r="C3" s="11" t="s">
        <v>4</v>
      </c>
      <c r="D3" s="3"/>
    </row>
    <row r="4" spans="3:4" ht="18.75" x14ac:dyDescent="0.3">
      <c r="C4" s="6" t="s">
        <v>5</v>
      </c>
      <c r="D4" s="3"/>
    </row>
    <row r="5" spans="3:4" ht="18.75" x14ac:dyDescent="0.3">
      <c r="C5" s="7" t="s">
        <v>6</v>
      </c>
      <c r="D5" s="3"/>
    </row>
    <row r="6" spans="3:4" ht="18.75" x14ac:dyDescent="0.3">
      <c r="C6" s="7" t="s">
        <v>7</v>
      </c>
      <c r="D6" s="3"/>
    </row>
    <row r="7" spans="3:4" ht="18.75" x14ac:dyDescent="0.3">
      <c r="C7" s="10" t="s">
        <v>8</v>
      </c>
      <c r="D7" s="3"/>
    </row>
    <row r="8" spans="3:4" x14ac:dyDescent="0.25">
      <c r="C8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DASTRAR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4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12CA4-5F29-4495-A420-2DA8D1D08B03}">
  <sheetPr codeName="Planilha3"/>
  <dimension ref="A1:E5"/>
  <sheetViews>
    <sheetView workbookViewId="0">
      <selection activeCell="I8" sqref="I8"/>
    </sheetView>
  </sheetViews>
  <sheetFormatPr defaultRowHeight="15" x14ac:dyDescent="0.25"/>
  <cols>
    <col min="1" max="5" width="17.7109375" customWidth="1"/>
    <col min="6" max="6" width="17.28515625" customWidth="1"/>
  </cols>
  <sheetData>
    <row r="1" spans="1:5" ht="18.75" x14ac:dyDescent="0.3">
      <c r="A1" s="7" t="s">
        <v>4</v>
      </c>
      <c r="B1" s="7" t="s">
        <v>14</v>
      </c>
      <c r="C1" s="7" t="s">
        <v>6</v>
      </c>
      <c r="D1" s="7" t="s">
        <v>7</v>
      </c>
      <c r="E1" s="7" t="s">
        <v>8</v>
      </c>
    </row>
    <row r="2" spans="1:5" x14ac:dyDescent="0.25">
      <c r="A2" s="3" t="s">
        <v>9</v>
      </c>
      <c r="B2" s="3" t="s">
        <v>10</v>
      </c>
      <c r="C2" s="3" t="s">
        <v>11</v>
      </c>
      <c r="D2" s="3" t="s">
        <v>12</v>
      </c>
      <c r="E2" s="3" t="s">
        <v>13</v>
      </c>
    </row>
    <row r="3" spans="1:5" ht="18" customHeight="1" x14ac:dyDescent="0.25">
      <c r="A3" s="3" t="s">
        <v>15</v>
      </c>
      <c r="B3" s="3" t="s">
        <v>16</v>
      </c>
      <c r="C3" s="3" t="s">
        <v>11</v>
      </c>
      <c r="D3" s="3" t="s">
        <v>17</v>
      </c>
      <c r="E3" s="3" t="s">
        <v>18</v>
      </c>
    </row>
    <row r="4" spans="1:5" x14ac:dyDescent="0.25">
      <c r="A4" s="3" t="s">
        <v>19</v>
      </c>
      <c r="B4" s="3" t="s">
        <v>20</v>
      </c>
      <c r="C4" s="3" t="s">
        <v>21</v>
      </c>
      <c r="D4" s="3" t="s">
        <v>17</v>
      </c>
      <c r="E4" s="3" t="s">
        <v>22</v>
      </c>
    </row>
    <row r="5" spans="1:5" x14ac:dyDescent="0.25">
      <c r="A5" s="3" t="s">
        <v>292</v>
      </c>
      <c r="B5" s="3" t="s">
        <v>20</v>
      </c>
      <c r="C5" s="3" t="s">
        <v>293</v>
      </c>
      <c r="D5" s="3" t="s">
        <v>12</v>
      </c>
      <c r="E5" s="3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413F0-8671-45C2-B4A8-E325E5E52EF2}">
  <sheetPr codeName="Planilha6"/>
  <dimension ref="A1"/>
  <sheetViews>
    <sheetView workbookViewId="0">
      <selection activeCell="N14" sqref="N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este1">
                <anchor moveWithCells="1">
                  <from>
                    <xdr:col>8</xdr:col>
                    <xdr:colOff>457200</xdr:colOff>
                    <xdr:row>5</xdr:row>
                    <xdr:rowOff>152400</xdr:rowOff>
                  </from>
                  <to>
                    <xdr:col>14</xdr:col>
                    <xdr:colOff>533400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calculo">
                <anchor moveWithCells="1">
                  <from>
                    <xdr:col>8</xdr:col>
                    <xdr:colOff>447675</xdr:colOff>
                    <xdr:row>8</xdr:row>
                    <xdr:rowOff>104775</xdr:rowOff>
                  </from>
                  <to>
                    <xdr:col>14</xdr:col>
                    <xdr:colOff>542925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83E23-72A6-4505-969E-CA09D0A6E2D2}">
  <sheetPr codeName="Planilha7">
    <tabColor theme="2"/>
  </sheetPr>
  <dimension ref="A1:B3"/>
  <sheetViews>
    <sheetView workbookViewId="0">
      <selection activeCell="C7" sqref="C7"/>
    </sheetView>
  </sheetViews>
  <sheetFormatPr defaultRowHeight="15" x14ac:dyDescent="0.25"/>
  <cols>
    <col min="1" max="1" width="17.42578125" customWidth="1"/>
    <col min="2" max="2" width="31.85546875" customWidth="1"/>
  </cols>
  <sheetData>
    <row r="1" spans="1:2" x14ac:dyDescent="0.25">
      <c r="A1" s="14" t="s">
        <v>294</v>
      </c>
      <c r="B1" s="15">
        <v>25</v>
      </c>
    </row>
    <row r="2" spans="1:2" x14ac:dyDescent="0.25">
      <c r="A2" s="14" t="s">
        <v>295</v>
      </c>
      <c r="B2" s="16">
        <v>20</v>
      </c>
    </row>
    <row r="3" spans="1:2" x14ac:dyDescent="0.25">
      <c r="A3" s="14" t="s">
        <v>296</v>
      </c>
      <c r="B3" s="14">
        <v>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felse_isNumeric">
                <anchor moveWithCells="1">
                  <from>
                    <xdr:col>1</xdr:col>
                    <xdr:colOff>19050</xdr:colOff>
                    <xdr:row>5</xdr:row>
                    <xdr:rowOff>66675</xdr:rowOff>
                  </from>
                  <to>
                    <xdr:col>2</xdr:col>
                    <xdr:colOff>9525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felse_VarType">
                <anchor moveWithCells="1">
                  <from>
                    <xdr:col>1</xdr:col>
                    <xdr:colOff>0</xdr:colOff>
                    <xdr:row>8</xdr:row>
                    <xdr:rowOff>114300</xdr:rowOff>
                  </from>
                  <to>
                    <xdr:col>1</xdr:col>
                    <xdr:colOff>2114550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somarCells">
                <anchor moveWithCells="1">
                  <from>
                    <xdr:col>1</xdr:col>
                    <xdr:colOff>9525</xdr:colOff>
                    <xdr:row>11</xdr:row>
                    <xdr:rowOff>171450</xdr:rowOff>
                  </from>
                  <to>
                    <xdr:col>2</xdr:col>
                    <xdr:colOff>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omarRange">
                <anchor moveWithCells="1">
                  <from>
                    <xdr:col>1</xdr:col>
                    <xdr:colOff>9525</xdr:colOff>
                    <xdr:row>15</xdr:row>
                    <xdr:rowOff>28575</xdr:rowOff>
                  </from>
                  <to>
                    <xdr:col>2</xdr:col>
                    <xdr:colOff>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F99B8-BE56-450B-83B1-73DF48F555A5}">
  <sheetPr codeName="Planilha9"/>
  <dimension ref="A1"/>
  <sheetViews>
    <sheetView workbookViewId="0">
      <selection activeCell="B30" sqref="B30"/>
    </sheetView>
  </sheetViews>
  <sheetFormatPr defaultRowHeight="15" x14ac:dyDescent="0.25"/>
  <cols>
    <col min="1" max="1" width="127.140625" customWidth="1"/>
  </cols>
  <sheetData>
    <row r="1" spans="1:1" x14ac:dyDescent="0.25">
      <c r="A1" s="1" t="s">
        <v>297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CDEF-A3CC-4D44-B522-48005E91E1C5}">
  <sheetPr codeName="Planilha10"/>
  <dimension ref="A1:D22"/>
  <sheetViews>
    <sheetView workbookViewId="0">
      <selection activeCell="A24" sqref="A24"/>
    </sheetView>
  </sheetViews>
  <sheetFormatPr defaultRowHeight="15" x14ac:dyDescent="0.25"/>
  <cols>
    <col min="3" max="3" width="15.28515625" customWidth="1"/>
  </cols>
  <sheetData>
    <row r="1" spans="1:4" x14ac:dyDescent="0.25">
      <c r="A1" s="1" t="s">
        <v>299</v>
      </c>
    </row>
    <row r="2" spans="1:4" x14ac:dyDescent="0.25">
      <c r="A2" s="18">
        <v>12</v>
      </c>
    </row>
    <row r="3" spans="1:4" x14ac:dyDescent="0.25">
      <c r="A3" s="18">
        <v>45</v>
      </c>
    </row>
    <row r="4" spans="1:4" x14ac:dyDescent="0.25">
      <c r="A4" s="18">
        <v>4545</v>
      </c>
    </row>
    <row r="5" spans="1:4" x14ac:dyDescent="0.25">
      <c r="A5" s="18">
        <v>213</v>
      </c>
    </row>
    <row r="6" spans="1:4" x14ac:dyDescent="0.25">
      <c r="A6" s="18">
        <v>11</v>
      </c>
      <c r="D6" s="14" t="s">
        <v>298</v>
      </c>
    </row>
    <row r="7" spans="1:4" x14ac:dyDescent="0.25">
      <c r="A7" s="18">
        <v>1</v>
      </c>
      <c r="D7" s="17"/>
    </row>
    <row r="8" spans="1:4" x14ac:dyDescent="0.25">
      <c r="A8" s="18">
        <v>2</v>
      </c>
    </row>
    <row r="9" spans="1:4" x14ac:dyDescent="0.25">
      <c r="A9" s="18">
        <v>76</v>
      </c>
    </row>
    <row r="10" spans="1:4" x14ac:dyDescent="0.25">
      <c r="A10" s="18">
        <v>12</v>
      </c>
    </row>
    <row r="11" spans="1:4" x14ac:dyDescent="0.25">
      <c r="A11" s="18">
        <v>23</v>
      </c>
    </row>
    <row r="12" spans="1:4" x14ac:dyDescent="0.25">
      <c r="A12" s="18">
        <v>3</v>
      </c>
    </row>
    <row r="13" spans="1:4" x14ac:dyDescent="0.25">
      <c r="A13" s="18">
        <v>1</v>
      </c>
    </row>
    <row r="14" spans="1:4" x14ac:dyDescent="0.25">
      <c r="A14" s="18">
        <v>2</v>
      </c>
    </row>
    <row r="15" spans="1:4" x14ac:dyDescent="0.25">
      <c r="A15" s="18">
        <v>5</v>
      </c>
    </row>
    <row r="16" spans="1:4" x14ac:dyDescent="0.25">
      <c r="A16" s="18">
        <v>6</v>
      </c>
    </row>
    <row r="17" spans="1:1" x14ac:dyDescent="0.25">
      <c r="A17" s="18">
        <v>7</v>
      </c>
    </row>
    <row r="18" spans="1:1" x14ac:dyDescent="0.25">
      <c r="A18" s="18">
        <v>8</v>
      </c>
    </row>
    <row r="19" spans="1:1" x14ac:dyDescent="0.25">
      <c r="A19" s="18">
        <v>9</v>
      </c>
    </row>
    <row r="20" spans="1:1" x14ac:dyDescent="0.25">
      <c r="A20" s="18">
        <v>10</v>
      </c>
    </row>
    <row r="21" spans="1:1" x14ac:dyDescent="0.25">
      <c r="A21" s="19">
        <v>34</v>
      </c>
    </row>
    <row r="22" spans="1:1" x14ac:dyDescent="0.25">
      <c r="A22" s="20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uscar">
                <anchor moveWithCells="1" sizeWithCells="1">
                  <from>
                    <xdr:col>2</xdr:col>
                    <xdr:colOff>838200</xdr:colOff>
                    <xdr:row>8</xdr:row>
                    <xdr:rowOff>9525</xdr:rowOff>
                  </from>
                  <to>
                    <xdr:col>4</xdr:col>
                    <xdr:colOff>114300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D9DA-2400-47C2-A800-B4004EABF878}">
  <sheetPr codeName="Planilha8"/>
  <dimension ref="A1:C7"/>
  <sheetViews>
    <sheetView workbookViewId="0"/>
  </sheetViews>
  <sheetFormatPr defaultRowHeight="15" x14ac:dyDescent="0.25"/>
  <cols>
    <col min="1" max="1" width="18.28515625" customWidth="1"/>
    <col min="3" max="3" width="18.140625" customWidth="1"/>
  </cols>
  <sheetData>
    <row r="1" spans="1:3" x14ac:dyDescent="0.25">
      <c r="A1" s="22"/>
    </row>
    <row r="2" spans="1:3" x14ac:dyDescent="0.25">
      <c r="A2" s="24" t="s">
        <v>300</v>
      </c>
      <c r="C2" s="1" t="s">
        <v>298</v>
      </c>
    </row>
    <row r="3" spans="1:3" x14ac:dyDescent="0.25">
      <c r="A3" s="25" t="s">
        <v>301</v>
      </c>
      <c r="C3" s="21" t="s">
        <v>302</v>
      </c>
    </row>
    <row r="4" spans="1:3" x14ac:dyDescent="0.25">
      <c r="A4" s="23" t="s">
        <v>302</v>
      </c>
    </row>
    <row r="5" spans="1:3" x14ac:dyDescent="0.25">
      <c r="A5" s="25" t="s">
        <v>303</v>
      </c>
    </row>
    <row r="6" spans="1:3" x14ac:dyDescent="0.25">
      <c r="A6" s="25" t="s">
        <v>304</v>
      </c>
    </row>
    <row r="7" spans="1:3" x14ac:dyDescent="0.25">
      <c r="A7" s="25" t="s">
        <v>305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scarFor">
                <anchor moveWithCells="1" sizeWithCells="1">
                  <from>
                    <xdr:col>1</xdr:col>
                    <xdr:colOff>314325</xdr:colOff>
                    <xdr:row>3</xdr:row>
                    <xdr:rowOff>180975</xdr:rowOff>
                  </from>
                  <to>
                    <xdr:col>3</xdr:col>
                    <xdr:colOff>304800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199ED-F81E-4554-AE20-1A18DD1A379B}">
  <sheetPr codeName="Planilha11"/>
  <dimension ref="A1:C10"/>
  <sheetViews>
    <sheetView zoomScaleNormal="100" workbookViewId="0">
      <selection activeCell="N5" sqref="N5"/>
    </sheetView>
  </sheetViews>
  <sheetFormatPr defaultRowHeight="15" x14ac:dyDescent="0.25"/>
  <cols>
    <col min="1" max="1" width="27.42578125" style="26" customWidth="1"/>
    <col min="3" max="3" width="18.28515625" customWidth="1"/>
  </cols>
  <sheetData>
    <row r="1" spans="1:3" x14ac:dyDescent="0.25">
      <c r="A1" s="26" t="s">
        <v>306</v>
      </c>
    </row>
    <row r="2" spans="1:3" x14ac:dyDescent="0.25">
      <c r="A2" s="27" t="s">
        <v>13</v>
      </c>
      <c r="C2" s="14" t="s">
        <v>298</v>
      </c>
    </row>
    <row r="3" spans="1:3" x14ac:dyDescent="0.25">
      <c r="A3" s="27" t="s">
        <v>307</v>
      </c>
      <c r="C3" s="28" t="s">
        <v>18</v>
      </c>
    </row>
    <row r="4" spans="1:3" x14ac:dyDescent="0.25">
      <c r="A4" s="29" t="s">
        <v>18</v>
      </c>
    </row>
    <row r="5" spans="1:3" x14ac:dyDescent="0.25">
      <c r="A5" s="27" t="s">
        <v>308</v>
      </c>
    </row>
    <row r="6" spans="1:3" x14ac:dyDescent="0.25">
      <c r="A6" s="27" t="s">
        <v>309</v>
      </c>
    </row>
    <row r="7" spans="1:3" x14ac:dyDescent="0.25">
      <c r="A7" s="27" t="s">
        <v>310</v>
      </c>
    </row>
    <row r="8" spans="1:3" x14ac:dyDescent="0.25">
      <c r="A8" s="27" t="s">
        <v>311</v>
      </c>
    </row>
    <row r="9" spans="1:3" x14ac:dyDescent="0.25">
      <c r="A9" s="27" t="s">
        <v>312</v>
      </c>
    </row>
    <row r="10" spans="1:3" x14ac:dyDescent="0.25">
      <c r="A10" s="27" t="s">
        <v>313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uscarWhile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EA8A2-C622-4C8C-A186-CF71A6F06F5D}">
  <sheetPr codeName="Planilha12"/>
  <dimension ref="A1:L4"/>
  <sheetViews>
    <sheetView workbookViewId="0">
      <selection activeCell="S12" sqref="S12"/>
    </sheetView>
  </sheetViews>
  <sheetFormatPr defaultRowHeight="15" x14ac:dyDescent="0.25"/>
  <sheetData>
    <row r="1" spans="1:12" x14ac:dyDescent="0.25">
      <c r="A1" s="27" t="s">
        <v>299</v>
      </c>
      <c r="B1" s="27">
        <v>41</v>
      </c>
      <c r="C1" s="27">
        <v>28</v>
      </c>
      <c r="D1" s="27">
        <v>12</v>
      </c>
      <c r="E1" s="27">
        <v>32</v>
      </c>
      <c r="F1" s="27">
        <v>44</v>
      </c>
      <c r="G1" s="27">
        <v>11</v>
      </c>
      <c r="H1" s="29">
        <v>1</v>
      </c>
      <c r="I1" s="27">
        <v>2</v>
      </c>
      <c r="J1" s="27">
        <v>34</v>
      </c>
      <c r="K1" s="27">
        <v>27</v>
      </c>
      <c r="L1" s="27">
        <v>58</v>
      </c>
    </row>
    <row r="3" spans="1:12" x14ac:dyDescent="0.25">
      <c r="B3" s="14" t="s">
        <v>314</v>
      </c>
    </row>
    <row r="4" spans="1:12" x14ac:dyDescent="0.25">
      <c r="B4" s="30">
        <v>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uscarWhile_linha">
                <anchor moveWithCells="1" sizeWithCells="1">
                  <from>
                    <xdr:col>0</xdr:col>
                    <xdr:colOff>352425</xdr:colOff>
                    <xdr:row>5</xdr:row>
                    <xdr:rowOff>0</xdr:rowOff>
                  </from>
                  <to>
                    <xdr:col>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3F4D7-BB63-4516-BD9E-8A49E94DC741}">
  <sheetPr codeName="Planilha13"/>
  <dimension ref="A1:F15"/>
  <sheetViews>
    <sheetView tabSelected="1" workbookViewId="0">
      <selection activeCell="C5" sqref="C5"/>
    </sheetView>
  </sheetViews>
  <sheetFormatPr defaultRowHeight="15" x14ac:dyDescent="0.25"/>
  <cols>
    <col min="1" max="1" width="9.140625" customWidth="1"/>
    <col min="2" max="2" width="12.5703125" customWidth="1"/>
    <col min="4" max="4" width="27.42578125" customWidth="1"/>
    <col min="6" max="6" width="18.28515625" customWidth="1"/>
  </cols>
  <sheetData>
    <row r="1" spans="1:6" x14ac:dyDescent="0.25">
      <c r="A1" s="26" t="s">
        <v>329</v>
      </c>
      <c r="B1" s="26" t="s">
        <v>328</v>
      </c>
    </row>
    <row r="2" spans="1:6" x14ac:dyDescent="0.25">
      <c r="A2" s="26" t="s">
        <v>315</v>
      </c>
      <c r="B2" s="26" t="s">
        <v>318</v>
      </c>
      <c r="D2" s="14" t="s">
        <v>330</v>
      </c>
      <c r="F2" s="1" t="s">
        <v>331</v>
      </c>
    </row>
    <row r="3" spans="1:6" x14ac:dyDescent="0.25">
      <c r="A3" s="26" t="s">
        <v>316</v>
      </c>
      <c r="B3" s="26" t="s">
        <v>318</v>
      </c>
      <c r="D3" s="31" t="s">
        <v>320</v>
      </c>
      <c r="F3" s="26">
        <v>911</v>
      </c>
    </row>
    <row r="4" spans="1:6" x14ac:dyDescent="0.25">
      <c r="A4" s="26" t="s">
        <v>317</v>
      </c>
      <c r="B4" s="26" t="s">
        <v>319</v>
      </c>
      <c r="F4" s="26">
        <v>917</v>
      </c>
    </row>
    <row r="5" spans="1:6" x14ac:dyDescent="0.25">
      <c r="A5" s="26">
        <v>911</v>
      </c>
      <c r="B5" s="26" t="s">
        <v>320</v>
      </c>
      <c r="F5" s="26"/>
    </row>
    <row r="6" spans="1:6" x14ac:dyDescent="0.25">
      <c r="A6" s="26">
        <v>917</v>
      </c>
      <c r="B6" s="26" t="s">
        <v>320</v>
      </c>
      <c r="F6" s="26"/>
    </row>
    <row r="7" spans="1:6" x14ac:dyDescent="0.25">
      <c r="A7" s="26" t="s">
        <v>321</v>
      </c>
      <c r="B7" s="26" t="s">
        <v>322</v>
      </c>
      <c r="F7" s="26"/>
    </row>
    <row r="8" spans="1:6" x14ac:dyDescent="0.25">
      <c r="A8" s="26" t="s">
        <v>323</v>
      </c>
      <c r="B8" s="26" t="s">
        <v>324</v>
      </c>
      <c r="F8" s="26"/>
    </row>
    <row r="9" spans="1:6" x14ac:dyDescent="0.25">
      <c r="A9" s="26" t="s">
        <v>325</v>
      </c>
      <c r="B9" s="26" t="s">
        <v>326</v>
      </c>
      <c r="F9" s="26"/>
    </row>
    <row r="10" spans="1:6" x14ac:dyDescent="0.25">
      <c r="A10" s="26" t="s">
        <v>327</v>
      </c>
      <c r="B10" s="26" t="s">
        <v>326</v>
      </c>
      <c r="F10" s="26"/>
    </row>
    <row r="11" spans="1:6" x14ac:dyDescent="0.25">
      <c r="F11" s="26"/>
    </row>
    <row r="12" spans="1:6" x14ac:dyDescent="0.25">
      <c r="F12" s="26"/>
    </row>
    <row r="13" spans="1:6" x14ac:dyDescent="0.25">
      <c r="F13" s="26"/>
    </row>
    <row r="14" spans="1:6" x14ac:dyDescent="0.25">
      <c r="F14" s="26"/>
    </row>
    <row r="15" spans="1:6" x14ac:dyDescent="0.25">
      <c r="F15" s="26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rocuraCopiaCola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3</xdr:col>
                    <xdr:colOff>1819275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8EE65-3AB6-4E5A-8968-C8D766A902E9}">
  <sheetPr codeName="Planilha1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teste macros</vt:lpstr>
      <vt:lpstr>importação xml</vt:lpstr>
      <vt:lpstr>resumo xml</vt:lpstr>
      <vt:lpstr>base</vt:lpstr>
      <vt:lpstr>banco de dados</vt:lpstr>
      <vt:lpstr>Testando codigos no vba</vt:lpstr>
      <vt:lpstr>Cells,Range,VarType,IsNumeric</vt:lpstr>
      <vt:lpstr>If,else,while,do,for</vt:lpstr>
      <vt:lpstr>Praticando usando Do</vt:lpstr>
      <vt:lpstr>Praticando usando For</vt:lpstr>
      <vt:lpstr>Praticando usando while</vt:lpstr>
      <vt:lpstr>Praticando usando while </vt:lpstr>
      <vt:lpstr>Copia e Cola</vt:lpstr>
      <vt:lpstr>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Pietro Vival</dc:creator>
  <cp:lastModifiedBy>Pietro Vival</cp:lastModifiedBy>
  <dcterms:created xsi:type="dcterms:W3CDTF">2023-07-12T20:38:34Z</dcterms:created>
  <dcterms:modified xsi:type="dcterms:W3CDTF">2023-07-15T22:55:16Z</dcterms:modified>
</cp:coreProperties>
</file>